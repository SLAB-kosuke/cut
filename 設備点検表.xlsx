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uk\Desktop\"/>
    </mc:Choice>
  </mc:AlternateContent>
  <xr:revisionPtr revIDLastSave="0" documentId="13_ncr:1_{C38418EB-2DF8-4034-A161-489A54E4460C}" xr6:coauthVersionLast="47" xr6:coauthVersionMax="47" xr10:uidLastSave="{00000000-0000-0000-0000-000000000000}"/>
  <bookViews>
    <workbookView xWindow="-110" yWindow="-110" windowWidth="19420" windowHeight="11500" xr2:uid="{6C56CF13-AF7F-4C1F-982C-EF388A11F51A}"/>
  </bookViews>
  <sheets>
    <sheet name="日常～週" sheetId="4" r:id="rId1"/>
    <sheet name="月1～年1 " sheetId="3" r:id="rId2"/>
  </sheets>
  <definedNames>
    <definedName name="_xlnm.Print_Area" localSheetId="1">'月1～年1 '!$A$1:$AF$38</definedName>
    <definedName name="_xlnm.Print_Area" localSheetId="0">'日常～週'!$A$1:$AK$43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H9" i="4"/>
  <c r="G9" i="4"/>
  <c r="G10" i="4" s="1"/>
  <c r="I10" i="3"/>
  <c r="H10" i="3"/>
  <c r="G10" i="3"/>
  <c r="H10" i="4" l="1"/>
  <c r="J9" i="4"/>
  <c r="I10" i="4"/>
  <c r="K9" i="4" l="1"/>
  <c r="J10" i="4"/>
  <c r="J10" i="3"/>
  <c r="K10" i="4" l="1"/>
  <c r="L9" i="4"/>
  <c r="K10" i="3"/>
  <c r="L10" i="4" l="1"/>
  <c r="M9" i="4"/>
  <c r="L10" i="3"/>
  <c r="M10" i="4" l="1"/>
  <c r="N9" i="4"/>
  <c r="M10" i="3"/>
  <c r="N10" i="4" l="1"/>
  <c r="O9" i="4"/>
  <c r="N10" i="3"/>
  <c r="O10" i="4" l="1"/>
  <c r="P9" i="4"/>
  <c r="O10" i="3"/>
  <c r="P10" i="4" l="1"/>
  <c r="Q9" i="4"/>
  <c r="P10" i="3"/>
  <c r="R9" i="4" l="1"/>
  <c r="Q10" i="4"/>
  <c r="Q10" i="3"/>
  <c r="S9" i="4" l="1"/>
  <c r="R10" i="4"/>
  <c r="R10" i="3"/>
  <c r="T9" i="4" l="1"/>
  <c r="S10" i="4"/>
  <c r="S10" i="3"/>
  <c r="U9" i="4" l="1"/>
  <c r="T10" i="4"/>
  <c r="T10" i="3"/>
  <c r="V9" i="4" l="1"/>
  <c r="U10" i="4"/>
  <c r="U8" i="4"/>
  <c r="V10" i="4" l="1"/>
  <c r="W9" i="4"/>
  <c r="V8" i="4"/>
  <c r="U10" i="3"/>
  <c r="W10" i="4" l="1"/>
  <c r="X9" i="4"/>
  <c r="W8" i="4"/>
  <c r="V10" i="3"/>
  <c r="X10" i="4" l="1"/>
  <c r="X8" i="4"/>
  <c r="Y9" i="4"/>
  <c r="Y10" i="4" l="1"/>
  <c r="Y8" i="4"/>
  <c r="Z9" i="4"/>
  <c r="W10" i="3"/>
  <c r="Z8" i="4" l="1"/>
  <c r="AA9" i="4"/>
  <c r="Z10" i="4"/>
  <c r="X10" i="3"/>
  <c r="AA8" i="4" l="1"/>
  <c r="AB9" i="4"/>
  <c r="AA10" i="4"/>
  <c r="AC9" i="4" l="1"/>
  <c r="AB8" i="4"/>
  <c r="AB10" i="4"/>
  <c r="Y10" i="3"/>
  <c r="AD9" i="4" l="1"/>
  <c r="AC10" i="4"/>
  <c r="AC8" i="4"/>
  <c r="Z10" i="3"/>
  <c r="AE9" i="4" l="1"/>
  <c r="AD10" i="4"/>
  <c r="AD8" i="4"/>
  <c r="AA10" i="3"/>
  <c r="AF9" i="4" l="1"/>
  <c r="AE8" i="4"/>
  <c r="AE10" i="4"/>
  <c r="AB10" i="3"/>
  <c r="AG9" i="4" l="1"/>
  <c r="AF8" i="4"/>
  <c r="AF10" i="4"/>
  <c r="AG8" i="4" l="1"/>
  <c r="AG10" i="4"/>
  <c r="AH9" i="4"/>
  <c r="AC10" i="3"/>
  <c r="AH10" i="4" l="1"/>
  <c r="AI9" i="4"/>
  <c r="AH8" i="4"/>
  <c r="AD10" i="3"/>
  <c r="AI10" i="4" l="1"/>
  <c r="AI8" i="4"/>
  <c r="AJ9" i="4"/>
  <c r="AJ10" i="4" l="1"/>
  <c r="AK9" i="4"/>
  <c r="AJ8" i="4"/>
  <c r="AE10" i="3"/>
  <c r="AK10" i="4" l="1"/>
  <c r="AK8" i="4"/>
  <c r="AF10" i="3"/>
</calcChain>
</file>

<file path=xl/sharedStrings.xml><?xml version="1.0" encoding="utf-8"?>
<sst xmlns="http://schemas.openxmlformats.org/spreadsheetml/2006/main" count="204" uniqueCount="136">
  <si>
    <t>改版</t>
    <rPh sb="0" eb="2">
      <t>カイハン</t>
    </rPh>
    <phoneticPr fontId="4"/>
  </si>
  <si>
    <t>日付</t>
    <rPh sb="0" eb="2">
      <t>ヒヅケ</t>
    </rPh>
    <phoneticPr fontId="4"/>
  </si>
  <si>
    <t>作成</t>
    <rPh sb="0" eb="2">
      <t>サクセイ</t>
    </rPh>
    <phoneticPr fontId="4"/>
  </si>
  <si>
    <t>月　度　確　認　欄</t>
    <rPh sb="0" eb="1">
      <t>ツキ</t>
    </rPh>
    <rPh sb="2" eb="3">
      <t>ド</t>
    </rPh>
    <rPh sb="4" eb="5">
      <t>アキラ</t>
    </rPh>
    <rPh sb="6" eb="7">
      <t>シノブ</t>
    </rPh>
    <rPh sb="8" eb="9">
      <t>ラン</t>
    </rPh>
    <phoneticPr fontId="4"/>
  </si>
  <si>
    <t>00</t>
    <phoneticPr fontId="11"/>
  </si>
  <si>
    <t>年　、　月</t>
    <rPh sb="0" eb="1">
      <t>ネン</t>
    </rPh>
    <rPh sb="4" eb="5">
      <t>ツキ</t>
    </rPh>
    <phoneticPr fontId="4"/>
  </si>
  <si>
    <t>担当者</t>
    <rPh sb="0" eb="3">
      <t>タントウシャ</t>
    </rPh>
    <phoneticPr fontId="4"/>
  </si>
  <si>
    <t>係長</t>
    <rPh sb="0" eb="2">
      <t>カカリチョウ</t>
    </rPh>
    <phoneticPr fontId="4"/>
  </si>
  <si>
    <t>課長</t>
    <rPh sb="0" eb="2">
      <t>カチョウ</t>
    </rPh>
    <phoneticPr fontId="4"/>
  </si>
  <si>
    <t>×、△の場合、下の報告欄に日付、項目、問題内容、処置について記入</t>
    <rPh sb="4" eb="6">
      <t>バアイ</t>
    </rPh>
    <rPh sb="7" eb="8">
      <t>シタ</t>
    </rPh>
    <rPh sb="9" eb="11">
      <t>ホウコク</t>
    </rPh>
    <rPh sb="11" eb="12">
      <t>ラン</t>
    </rPh>
    <rPh sb="13" eb="14">
      <t>ヒ</t>
    </rPh>
    <rPh sb="14" eb="15">
      <t>ツ</t>
    </rPh>
    <rPh sb="16" eb="18">
      <t>コウモク</t>
    </rPh>
    <rPh sb="19" eb="21">
      <t>モンダイ</t>
    </rPh>
    <rPh sb="21" eb="23">
      <t>ナイヨウ</t>
    </rPh>
    <rPh sb="24" eb="26">
      <t>ショチ</t>
    </rPh>
    <rPh sb="30" eb="32">
      <t>キニュウ</t>
    </rPh>
    <phoneticPr fontId="4"/>
  </si>
  <si>
    <t>点検項目</t>
    <rPh sb="0" eb="2">
      <t>テンケン</t>
    </rPh>
    <rPh sb="2" eb="4">
      <t>コウモク</t>
    </rPh>
    <phoneticPr fontId="4"/>
  </si>
  <si>
    <t>点検方法</t>
    <rPh sb="0" eb="2">
      <t>テンケン</t>
    </rPh>
    <rPh sb="2" eb="4">
      <t>ホウホウ</t>
    </rPh>
    <phoneticPr fontId="4"/>
  </si>
  <si>
    <t>【日常点検】</t>
    <rPh sb="1" eb="3">
      <t>ニチジョウ</t>
    </rPh>
    <rPh sb="3" eb="5">
      <t>テンケン</t>
    </rPh>
    <phoneticPr fontId="4"/>
  </si>
  <si>
    <t>始業時</t>
    <rPh sb="0" eb="2">
      <t>シギョウ</t>
    </rPh>
    <rPh sb="2" eb="3">
      <t>ジ</t>
    </rPh>
    <phoneticPr fontId="4"/>
  </si>
  <si>
    <t>【週点検】　週初め実施</t>
    <phoneticPr fontId="4"/>
  </si>
  <si>
    <t>1回/週</t>
    <rPh sb="1" eb="2">
      <t>カイ</t>
    </rPh>
    <rPh sb="3" eb="4">
      <t>シュウ</t>
    </rPh>
    <phoneticPr fontId="4"/>
  </si>
  <si>
    <t>点検者サイン</t>
  </si>
  <si>
    <t>【点検結果に問題がある場合の報告欄】</t>
    <phoneticPr fontId="11"/>
  </si>
  <si>
    <t>交換：×</t>
    <rPh sb="0" eb="2">
      <t>コウカン</t>
    </rPh>
    <phoneticPr fontId="11"/>
  </si>
  <si>
    <t>修理：△</t>
    <rPh sb="0" eb="2">
      <t>シュウリ</t>
    </rPh>
    <phoneticPr fontId="11"/>
  </si>
  <si>
    <t>補充：L</t>
    <rPh sb="0" eb="2">
      <t>ホジュウ</t>
    </rPh>
    <phoneticPr fontId="11"/>
  </si>
  <si>
    <t>✔</t>
    <phoneticPr fontId="3"/>
  </si>
  <si>
    <t>×</t>
    <phoneticPr fontId="3"/>
  </si>
  <si>
    <t>C</t>
    <phoneticPr fontId="3"/>
  </si>
  <si>
    <t>△</t>
    <phoneticPr fontId="3"/>
  </si>
  <si>
    <t>L</t>
    <phoneticPr fontId="3"/>
  </si>
  <si>
    <t>　設備点検表　NO.</t>
    <rPh sb="1" eb="3">
      <t>セツビ</t>
    </rPh>
    <rPh sb="3" eb="5">
      <t>テンケン</t>
    </rPh>
    <rPh sb="5" eb="6">
      <t>ヒョウ</t>
    </rPh>
    <phoneticPr fontId="4"/>
  </si>
  <si>
    <t>交換‥</t>
    <rPh sb="0" eb="2">
      <t>コウカン</t>
    </rPh>
    <phoneticPr fontId="3"/>
  </si>
  <si>
    <t>修理‥</t>
    <rPh sb="0" eb="2">
      <t>シュウリ</t>
    </rPh>
    <phoneticPr fontId="3"/>
  </si>
  <si>
    <t>補充‥</t>
    <rPh sb="0" eb="2">
      <t>ホジュウ</t>
    </rPh>
    <phoneticPr fontId="3"/>
  </si>
  <si>
    <t>設備名称：ワイヤー放電加工機　　機種名・型式：ROBOCUT α-C600iC</t>
    <rPh sb="0" eb="2">
      <t>セツビ</t>
    </rPh>
    <rPh sb="2" eb="4">
      <t>メイショウ</t>
    </rPh>
    <rPh sb="9" eb="11">
      <t>ホウデン</t>
    </rPh>
    <rPh sb="11" eb="14">
      <t>カコウキ</t>
    </rPh>
    <rPh sb="16" eb="18">
      <t>キシュ</t>
    </rPh>
    <rPh sb="18" eb="19">
      <t>メイ</t>
    </rPh>
    <rPh sb="20" eb="22">
      <t>カタシキ</t>
    </rPh>
    <phoneticPr fontId="4"/>
  </si>
  <si>
    <t>上下電極ピンの確認</t>
    <rPh sb="0" eb="2">
      <t>ジョウゲ</t>
    </rPh>
    <rPh sb="2" eb="4">
      <t>デンキョク</t>
    </rPh>
    <rPh sb="7" eb="9">
      <t>カクニン</t>
    </rPh>
    <phoneticPr fontId="3"/>
  </si>
  <si>
    <t>加工液比抵抗の確認</t>
    <rPh sb="0" eb="3">
      <t>カコウエキ</t>
    </rPh>
    <rPh sb="3" eb="6">
      <t>ヒテイコウ</t>
    </rPh>
    <rPh sb="7" eb="9">
      <t>カクニン</t>
    </rPh>
    <phoneticPr fontId="4"/>
  </si>
  <si>
    <t>テーブル面と加工槽の確認</t>
    <rPh sb="4" eb="5">
      <t>メン</t>
    </rPh>
    <rPh sb="6" eb="8">
      <t>カコウ</t>
    </rPh>
    <rPh sb="8" eb="9">
      <t>ソウ</t>
    </rPh>
    <rPh sb="10" eb="12">
      <t>カクニン</t>
    </rPh>
    <phoneticPr fontId="4"/>
  </si>
  <si>
    <t>フィルタ圧の確認</t>
    <rPh sb="4" eb="5">
      <t>アツ</t>
    </rPh>
    <rPh sb="6" eb="8">
      <t>カクニン</t>
    </rPh>
    <phoneticPr fontId="4"/>
  </si>
  <si>
    <t>テーブルのランニング</t>
    <phoneticPr fontId="11"/>
  </si>
  <si>
    <t>機械各部の清掃</t>
    <rPh sb="0" eb="2">
      <t>キカイ</t>
    </rPh>
    <rPh sb="2" eb="4">
      <t>カクブ</t>
    </rPh>
    <rPh sb="5" eb="7">
      <t>セイソウ</t>
    </rPh>
    <phoneticPr fontId="11"/>
  </si>
  <si>
    <t>異音、振動等の異常の有無</t>
    <rPh sb="0" eb="2">
      <t>イオン</t>
    </rPh>
    <rPh sb="3" eb="5">
      <t>シンドウ</t>
    </rPh>
    <rPh sb="5" eb="6">
      <t>トウ</t>
    </rPh>
    <rPh sb="7" eb="9">
      <t>イジョウ</t>
    </rPh>
    <rPh sb="10" eb="12">
      <t>ウム</t>
    </rPh>
    <phoneticPr fontId="3"/>
  </si>
  <si>
    <t>目視、触手、聴音</t>
    <rPh sb="0" eb="2">
      <t>モクシ</t>
    </rPh>
    <rPh sb="3" eb="5">
      <t>ショクシュ</t>
    </rPh>
    <rPh sb="6" eb="8">
      <t>チョウオン</t>
    </rPh>
    <phoneticPr fontId="4"/>
  </si>
  <si>
    <t>終業時</t>
    <rPh sb="0" eb="2">
      <t>シュウギョウ</t>
    </rPh>
    <rPh sb="2" eb="3">
      <t>ジ</t>
    </rPh>
    <phoneticPr fontId="4"/>
  </si>
  <si>
    <t>キズ・中子等異物はないか</t>
    <rPh sb="3" eb="5">
      <t>ナカゴ</t>
    </rPh>
    <rPh sb="5" eb="6">
      <t>トウ</t>
    </rPh>
    <rPh sb="6" eb="8">
      <t>イブツ</t>
    </rPh>
    <phoneticPr fontId="3"/>
  </si>
  <si>
    <t>Ⅳ各画面での設定4.2.</t>
    <rPh sb="1" eb="4">
      <t>カクガメン</t>
    </rPh>
    <rPh sb="6" eb="8">
      <t>セッテイ</t>
    </rPh>
    <phoneticPr fontId="3"/>
  </si>
  <si>
    <t>Ⅲ基本操作6.3.</t>
    <rPh sb="1" eb="5">
      <t>キホンソウサ</t>
    </rPh>
    <phoneticPr fontId="3"/>
  </si>
  <si>
    <t>Ⅲ基本操作12.2.</t>
    <rPh sb="1" eb="5">
      <t>キホンソウサ</t>
    </rPh>
    <phoneticPr fontId="3"/>
  </si>
  <si>
    <t>Ⅲ基本操作5.1.2.</t>
    <rPh sb="1" eb="5">
      <t>キホンソウサ</t>
    </rPh>
    <phoneticPr fontId="3"/>
  </si>
  <si>
    <t>Ⅲ基本操作11.4.</t>
    <rPh sb="1" eb="5">
      <t>キホンソウサ</t>
    </rPh>
    <phoneticPr fontId="3"/>
  </si>
  <si>
    <t>Ⅳ各画面での設定16.1.4.</t>
    <rPh sb="1" eb="4">
      <t>カクガメン</t>
    </rPh>
    <rPh sb="6" eb="8">
      <t>セッテイ</t>
    </rPh>
    <phoneticPr fontId="3"/>
  </si>
  <si>
    <t>Ⅲ基本操作15.</t>
    <rPh sb="1" eb="5">
      <t>キホンソウサ</t>
    </rPh>
    <phoneticPr fontId="3"/>
  </si>
  <si>
    <t>詳細(取説)</t>
    <rPh sb="0" eb="2">
      <t>ショウサイ</t>
    </rPh>
    <rPh sb="3" eb="5">
      <t>トリセツ</t>
    </rPh>
    <phoneticPr fontId="3"/>
  </si>
  <si>
    <t>水洗い、拭き上げ</t>
    <rPh sb="0" eb="1">
      <t>ミズ</t>
    </rPh>
    <rPh sb="1" eb="2">
      <t>アラ</t>
    </rPh>
    <rPh sb="4" eb="5">
      <t>フ</t>
    </rPh>
    <rPh sb="6" eb="7">
      <t>ア</t>
    </rPh>
    <phoneticPr fontId="3"/>
  </si>
  <si>
    <t>ide</t>
    <phoneticPr fontId="4"/>
  </si>
  <si>
    <t>設備所属／（株）エスラボ</t>
    <rPh sb="0" eb="2">
      <t>セツビ</t>
    </rPh>
    <rPh sb="2" eb="4">
      <t>ショゾク</t>
    </rPh>
    <phoneticPr fontId="4"/>
  </si>
  <si>
    <t>設備担当／ 小助川　　管理担当者/ 井出</t>
    <rPh sb="0" eb="2">
      <t>セツビ</t>
    </rPh>
    <rPh sb="2" eb="4">
      <t>タントウ</t>
    </rPh>
    <rPh sb="6" eb="9">
      <t>コスケガワ</t>
    </rPh>
    <rPh sb="11" eb="13">
      <t>カンリ</t>
    </rPh>
    <rPh sb="13" eb="16">
      <t>タントウシャ</t>
    </rPh>
    <rPh sb="18" eb="20">
      <t>イデ</t>
    </rPh>
    <phoneticPr fontId="4"/>
  </si>
  <si>
    <t>上下ノズルの確認</t>
    <rPh sb="0" eb="2">
      <t>ジョウゲ</t>
    </rPh>
    <rPh sb="6" eb="8">
      <t>カクニン</t>
    </rPh>
    <phoneticPr fontId="3"/>
  </si>
  <si>
    <t>ワイヤの垂直確認</t>
    <rPh sb="4" eb="6">
      <t>スイチョク</t>
    </rPh>
    <rPh sb="6" eb="8">
      <t>カクニン</t>
    </rPh>
    <phoneticPr fontId="3"/>
  </si>
  <si>
    <t>シール板の清掃</t>
    <rPh sb="3" eb="4">
      <t>イタ</t>
    </rPh>
    <rPh sb="5" eb="7">
      <t>セイソウ</t>
    </rPh>
    <phoneticPr fontId="3"/>
  </si>
  <si>
    <t>下ガイドローラーの確認</t>
    <rPh sb="0" eb="1">
      <t>シタ</t>
    </rPh>
    <rPh sb="9" eb="11">
      <t>カクニン</t>
    </rPh>
    <phoneticPr fontId="3"/>
  </si>
  <si>
    <t>ストレーナの清掃</t>
    <rPh sb="6" eb="8">
      <t>セイソウ</t>
    </rPh>
    <phoneticPr fontId="3"/>
  </si>
  <si>
    <t>比抵抗検出電極の清掃</t>
    <rPh sb="0" eb="3">
      <t>ヒテイコウ</t>
    </rPh>
    <rPh sb="3" eb="5">
      <t>ケンシュツ</t>
    </rPh>
    <rPh sb="5" eb="7">
      <t>デンキョク</t>
    </rPh>
    <rPh sb="8" eb="10">
      <t>セイソウ</t>
    </rPh>
    <phoneticPr fontId="3"/>
  </si>
  <si>
    <t>テンションセンサの調節</t>
    <rPh sb="9" eb="11">
      <t>チョウセツ</t>
    </rPh>
    <phoneticPr fontId="3"/>
  </si>
  <si>
    <t>昇降ドアシール部の清掃</t>
    <rPh sb="0" eb="2">
      <t>ショウコウ</t>
    </rPh>
    <rPh sb="7" eb="8">
      <t>ブ</t>
    </rPh>
    <rPh sb="9" eb="11">
      <t>セイソウ</t>
    </rPh>
    <phoneticPr fontId="3"/>
  </si>
  <si>
    <t>Ⅲ基本操作5.2.</t>
    <rPh sb="1" eb="5">
      <t>キホンソウサ</t>
    </rPh>
    <phoneticPr fontId="3"/>
  </si>
  <si>
    <t>Ⅳ各画面での設定7.3.1.</t>
    <rPh sb="1" eb="4">
      <t>カクガメン</t>
    </rPh>
    <rPh sb="6" eb="8">
      <t>セッテイ</t>
    </rPh>
    <phoneticPr fontId="3"/>
  </si>
  <si>
    <t>※異常と感じたら報告を！</t>
    <rPh sb="1" eb="3">
      <t>イジョウ</t>
    </rPh>
    <rPh sb="4" eb="5">
      <t>カン</t>
    </rPh>
    <rPh sb="8" eb="10">
      <t>ホウコク</t>
    </rPh>
    <phoneticPr fontId="3"/>
  </si>
  <si>
    <t>2026</t>
    <phoneticPr fontId="3"/>
  </si>
  <si>
    <t>4月</t>
    <rPh sb="1" eb="2">
      <t>ガツ</t>
    </rPh>
    <phoneticPr fontId="3"/>
  </si>
  <si>
    <t>5月</t>
    <rPh sb="1" eb="2">
      <t>ガツ</t>
    </rPh>
    <phoneticPr fontId="3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</si>
  <si>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</si>
  <si>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</si>
  <si>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</si>
  <si>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</si>
  <si>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</si>
  <si>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</si>
  <si>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</si>
  <si>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</si>
  <si>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</si>
  <si>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</si>
  <si>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洗浄</t>
    <rPh sb="0" eb="2">
      <t>センジョウ</t>
    </rPh>
    <phoneticPr fontId="3"/>
  </si>
  <si>
    <t>【点検結果に問題がある場合の報告欄】</t>
    <phoneticPr fontId="3"/>
  </si>
  <si>
    <t>【１年点検】　週初め実施</t>
    <rPh sb="2" eb="3">
      <t>ネン</t>
    </rPh>
    <phoneticPr fontId="4"/>
  </si>
  <si>
    <t>目視・拭き上げ</t>
    <rPh sb="0" eb="2">
      <t>モクシ</t>
    </rPh>
    <rPh sb="3" eb="4">
      <t>フ</t>
    </rPh>
    <rPh sb="5" eb="6">
      <t>ア</t>
    </rPh>
    <phoneticPr fontId="11"/>
  </si>
  <si>
    <t>ブレーキシューの確認</t>
    <rPh sb="8" eb="10">
      <t>カクニン</t>
    </rPh>
    <phoneticPr fontId="3"/>
  </si>
  <si>
    <t>AWFチャック部の確認</t>
    <rPh sb="7" eb="8">
      <t>ブ</t>
    </rPh>
    <rPh sb="9" eb="11">
      <t>カクニン</t>
    </rPh>
    <phoneticPr fontId="3"/>
  </si>
  <si>
    <t>AWF上パイプ部の確認</t>
    <rPh sb="3" eb="4">
      <t>ウエ</t>
    </rPh>
    <rPh sb="7" eb="8">
      <t>ブ</t>
    </rPh>
    <rPh sb="9" eb="11">
      <t>カクニン</t>
    </rPh>
    <phoneticPr fontId="3"/>
  </si>
  <si>
    <t>AWFディテクト部の確認</t>
    <rPh sb="8" eb="9">
      <t>ブ</t>
    </rPh>
    <rPh sb="10" eb="12">
      <t>カクニン</t>
    </rPh>
    <phoneticPr fontId="3"/>
  </si>
  <si>
    <t>フィードドレインホース</t>
    <phoneticPr fontId="3"/>
  </si>
  <si>
    <t>上下ガイド周りの清掃</t>
    <rPh sb="0" eb="2">
      <t>ジョウゲ</t>
    </rPh>
    <rPh sb="5" eb="6">
      <t>マワ</t>
    </rPh>
    <rPh sb="8" eb="10">
      <t>セイソウ</t>
    </rPh>
    <phoneticPr fontId="3"/>
  </si>
  <si>
    <t>加工液の交換</t>
    <rPh sb="0" eb="3">
      <t>カコウエキ</t>
    </rPh>
    <rPh sb="4" eb="6">
      <t>コウカン</t>
    </rPh>
    <phoneticPr fontId="4"/>
  </si>
  <si>
    <t>汚水槽水位検出子の清掃</t>
    <rPh sb="0" eb="3">
      <t>オスイソウ</t>
    </rPh>
    <rPh sb="3" eb="5">
      <t>スイイ</t>
    </rPh>
    <rPh sb="5" eb="7">
      <t>ケンシュツ</t>
    </rPh>
    <rPh sb="7" eb="8">
      <t>コ</t>
    </rPh>
    <rPh sb="9" eb="11">
      <t>セイソウ</t>
    </rPh>
    <phoneticPr fontId="3"/>
  </si>
  <si>
    <t>フィード部の確認</t>
    <rPh sb="4" eb="5">
      <t>ブ</t>
    </rPh>
    <rPh sb="6" eb="8">
      <t>カクニン</t>
    </rPh>
    <phoneticPr fontId="4"/>
  </si>
  <si>
    <t>クーラ内部の配管清掃</t>
    <rPh sb="3" eb="5">
      <t>ナイブ</t>
    </rPh>
    <rPh sb="6" eb="8">
      <t>ハイカン</t>
    </rPh>
    <rPh sb="8" eb="10">
      <t>セイソウ</t>
    </rPh>
    <phoneticPr fontId="3"/>
  </si>
  <si>
    <t>【6ヶ月点検】</t>
    <rPh sb="3" eb="4">
      <t>ゲツ</t>
    </rPh>
    <rPh sb="4" eb="6">
      <t>テンケン</t>
    </rPh>
    <phoneticPr fontId="4"/>
  </si>
  <si>
    <t>グリスアップ  （リニアガイド）</t>
    <phoneticPr fontId="3"/>
  </si>
  <si>
    <t>　　　〃　　  （ボールネジ）</t>
    <phoneticPr fontId="3"/>
  </si>
  <si>
    <t>　　　〃　　  （ドレイン軸）</t>
    <rPh sb="13" eb="14">
      <t>ジク</t>
    </rPh>
    <phoneticPr fontId="3"/>
  </si>
  <si>
    <t>1回/年</t>
    <rPh sb="1" eb="2">
      <t>カイ</t>
    </rPh>
    <rPh sb="3" eb="4">
      <t>ネン</t>
    </rPh>
    <phoneticPr fontId="4"/>
  </si>
  <si>
    <t>*日付 名前:'日付入力' 背景色:'#C0C0C0' テキスト表示色:'#FFFF00'</t>
    <phoneticPr fontId="3"/>
  </si>
  <si>
    <t>*日付 名前:'日付入力1' 背景色:'#C0C0C0' テキスト表示色:'#FFFF00'</t>
  </si>
  <si>
    <t>*日付 名前:'日付入力4' 背景色:'#C0C0C0' テキスト表示色:'#FFFF00'</t>
  </si>
  <si>
    <t>目視(指差)</t>
    <rPh sb="0" eb="2">
      <t>モクシ</t>
    </rPh>
    <rPh sb="3" eb="5">
      <t>シサ</t>
    </rPh>
    <phoneticPr fontId="4"/>
  </si>
  <si>
    <t>目視、聴音</t>
    <rPh sb="0" eb="2">
      <t>モクシ</t>
    </rPh>
    <rPh sb="3" eb="5">
      <t>チョウオン</t>
    </rPh>
    <phoneticPr fontId="4"/>
  </si>
  <si>
    <t>ワイヤ量(残時間)の確認</t>
    <rPh sb="3" eb="4">
      <t>リョウ</t>
    </rPh>
    <rPh sb="5" eb="8">
      <t>ザンジカン</t>
    </rPh>
    <rPh sb="10" eb="12">
      <t>カクニン</t>
    </rPh>
    <phoneticPr fontId="4"/>
  </si>
  <si>
    <t>ダイスガイドの確認・清掃</t>
    <rPh sb="7" eb="9">
      <t>カクニン</t>
    </rPh>
    <rPh sb="10" eb="12">
      <t>セイソウ</t>
    </rPh>
    <phoneticPr fontId="3"/>
  </si>
  <si>
    <t>設定</t>
    <rPh sb="0" eb="2">
      <t>セッテイ</t>
    </rPh>
    <phoneticPr fontId="3"/>
  </si>
  <si>
    <t>フェルトパッドの交換</t>
    <rPh sb="8" eb="10">
      <t>コウカン</t>
    </rPh>
    <phoneticPr fontId="3"/>
  </si>
  <si>
    <t>【1箇月点検】</t>
    <rPh sb="2" eb="4">
      <t>カゲツ</t>
    </rPh>
    <phoneticPr fontId="4"/>
  </si>
  <si>
    <t>フィルタ清掃(制御部ロッカー)</t>
    <rPh sb="7" eb="10">
      <t>セイギョブ</t>
    </rPh>
    <phoneticPr fontId="3"/>
  </si>
  <si>
    <t>清掃</t>
    <rPh sb="0" eb="2">
      <t>セイソウ</t>
    </rPh>
    <phoneticPr fontId="4"/>
  </si>
  <si>
    <t>目視.清掃</t>
    <rPh sb="0" eb="2">
      <t>モクシ</t>
    </rPh>
    <rPh sb="3" eb="5">
      <t>セイソウ</t>
    </rPh>
    <phoneticPr fontId="4"/>
  </si>
  <si>
    <t>フィルタ清掃(クーラー部)</t>
    <rPh sb="11" eb="12">
      <t>ブ</t>
    </rPh>
    <phoneticPr fontId="3"/>
  </si>
  <si>
    <t>測定</t>
    <rPh sb="0" eb="2">
      <t>ソクテイ</t>
    </rPh>
    <phoneticPr fontId="3"/>
  </si>
  <si>
    <t xml:space="preserve">  3-1</t>
    <phoneticPr fontId="3"/>
  </si>
  <si>
    <t xml:space="preserve">  3-2</t>
  </si>
  <si>
    <t>ワイヤーの垂直調整</t>
    <rPh sb="5" eb="7">
      <t>スイチョク</t>
    </rPh>
    <rPh sb="7" eb="9">
      <t>チョウセイ</t>
    </rPh>
    <phoneticPr fontId="3"/>
  </si>
  <si>
    <t>シール板の清掃</t>
    <rPh sb="3" eb="4">
      <t>イタ</t>
    </rPh>
    <rPh sb="5" eb="7">
      <t>セイソウ</t>
    </rPh>
    <phoneticPr fontId="4"/>
  </si>
  <si>
    <r>
      <t>ガイド部(</t>
    </r>
    <r>
      <rPr>
        <sz val="9"/>
        <rFont val="ＭＳ ゴシック"/>
        <family val="3"/>
        <charset val="128"/>
      </rPr>
      <t>上下</t>
    </r>
    <r>
      <rPr>
        <sz val="10"/>
        <rFont val="ＭＳ ゴシック"/>
        <family val="3"/>
        <charset val="128"/>
      </rPr>
      <t>)の平行確認　20㎛以下/20㎜</t>
    </r>
    <rPh sb="3" eb="4">
      <t>ブ</t>
    </rPh>
    <rPh sb="5" eb="7">
      <t>ジョウゲ</t>
    </rPh>
    <rPh sb="9" eb="11">
      <t>ヘイコウ</t>
    </rPh>
    <rPh sb="11" eb="13">
      <t>カクニン</t>
    </rPh>
    <rPh sb="17" eb="19">
      <t>イカ</t>
    </rPh>
    <phoneticPr fontId="3"/>
  </si>
  <si>
    <t>プレシールジャバラの清掃</t>
    <rPh sb="10" eb="12">
      <t>セイソウ</t>
    </rPh>
    <phoneticPr fontId="4"/>
  </si>
  <si>
    <t>給脂</t>
    <rPh sb="0" eb="2">
      <t>キュウシ</t>
    </rPh>
    <phoneticPr fontId="3"/>
  </si>
  <si>
    <t>目視・清掃</t>
    <rPh sb="0" eb="2">
      <t>モクシ</t>
    </rPh>
    <rPh sb="3" eb="5">
      <t>セイソウ</t>
    </rPh>
    <phoneticPr fontId="3"/>
  </si>
  <si>
    <t>ワイヤ経路の確認</t>
    <rPh sb="3" eb="5">
      <t>ケイロ</t>
    </rPh>
    <rPh sb="6" eb="8">
      <t>カクニン</t>
    </rPh>
    <phoneticPr fontId="4"/>
  </si>
  <si>
    <t>【3箇月点検】</t>
    <rPh sb="2" eb="4">
      <t>カゲツ</t>
    </rPh>
    <rPh sb="4" eb="6">
      <t>テンケン</t>
    </rPh>
    <phoneticPr fontId="4"/>
  </si>
  <si>
    <t>点検結果記入要領　　[異常なし：✔　　故障：×　修理：△　非稼働：K]</t>
    <rPh sb="0" eb="2">
      <t>テンケン</t>
    </rPh>
    <rPh sb="2" eb="4">
      <t>ケッカ</t>
    </rPh>
    <rPh sb="4" eb="6">
      <t>キニュウ</t>
    </rPh>
    <rPh sb="6" eb="8">
      <t>ヨウリョウ</t>
    </rPh>
    <rPh sb="11" eb="13">
      <t>イジョウ</t>
    </rPh>
    <rPh sb="19" eb="21">
      <t>コショウ</t>
    </rPh>
    <rPh sb="24" eb="26">
      <t>シュウリ</t>
    </rPh>
    <rPh sb="29" eb="32">
      <t>ヒカドウ</t>
    </rPh>
    <phoneticPr fontId="4"/>
  </si>
  <si>
    <t>稼働状況→</t>
    <rPh sb="0" eb="2">
      <t>カドウ</t>
    </rPh>
    <rPh sb="2" eb="4">
      <t>ジョウキョウ</t>
    </rPh>
    <phoneticPr fontId="3"/>
  </si>
  <si>
    <t>点検結果記入要領　　[異常なし：✔　　交換：×  修理：△］　</t>
    <rPh sb="0" eb="2">
      <t>テンケン</t>
    </rPh>
    <rPh sb="2" eb="4">
      <t>ケッカ</t>
    </rPh>
    <rPh sb="4" eb="6">
      <t>キニュウ</t>
    </rPh>
    <rPh sb="6" eb="8">
      <t>ヨウリョウ</t>
    </rPh>
    <rPh sb="11" eb="13">
      <t>イジョウ</t>
    </rPh>
    <rPh sb="19" eb="21">
      <t>コウカン</t>
    </rPh>
    <rPh sb="25" eb="27">
      <t>シュウリ</t>
    </rPh>
    <phoneticPr fontId="4"/>
  </si>
  <si>
    <t>稼働状況　［稼働：✔　非稼働：／ ］</t>
    <rPh sb="6" eb="8">
      <t>カドウ</t>
    </rPh>
    <rPh sb="11" eb="14">
      <t>ヒカドウ</t>
    </rPh>
    <phoneticPr fontId="3"/>
  </si>
  <si>
    <t>日付</t>
    <rPh sb="0" eb="2">
      <t>ヒヅケ</t>
    </rPh>
    <phoneticPr fontId="3"/>
  </si>
  <si>
    <t>曜日</t>
    <rPh sb="0" eb="2">
      <t>ヨウビ</t>
    </rPh>
    <phoneticPr fontId="3"/>
  </si>
  <si>
    <t>【その他】</t>
    <rPh sb="3" eb="4">
      <t>タ</t>
    </rPh>
    <phoneticPr fontId="4"/>
  </si>
  <si>
    <t>フィルター交換</t>
    <rPh sb="5" eb="7">
      <t>コウカン</t>
    </rPh>
    <phoneticPr fontId="3"/>
  </si>
  <si>
    <t>ワイヤー交換</t>
    <rPh sb="4" eb="6">
      <t>コウカン</t>
    </rPh>
    <phoneticPr fontId="3"/>
  </si>
  <si>
    <t>加工液量(タンク)の確認</t>
    <rPh sb="0" eb="3">
      <t>カコウエキ</t>
    </rPh>
    <rPh sb="3" eb="4">
      <t>リョウ</t>
    </rPh>
    <rPh sb="10" eb="12">
      <t>カクニン</t>
    </rPh>
    <phoneticPr fontId="3"/>
  </si>
  <si>
    <t>イオン交換樹脂の残時間を確認</t>
    <rPh sb="3" eb="5">
      <t>コウカン</t>
    </rPh>
    <rPh sb="5" eb="7">
      <t>ジュシ</t>
    </rPh>
    <rPh sb="8" eb="9">
      <t>ザン</t>
    </rPh>
    <rPh sb="9" eb="11">
      <t>ジカン</t>
    </rPh>
    <rPh sb="12" eb="14">
      <t>カクニン</t>
    </rPh>
    <phoneticPr fontId="3"/>
  </si>
  <si>
    <t>油漏れ、水漏れ等の確認</t>
    <rPh sb="0" eb="1">
      <t>アブラ</t>
    </rPh>
    <rPh sb="1" eb="2">
      <t>モ</t>
    </rPh>
    <rPh sb="4" eb="6">
      <t>ミズモ</t>
    </rPh>
    <rPh sb="7" eb="8">
      <t>トウ</t>
    </rPh>
    <rPh sb="9" eb="11">
      <t>カクニン</t>
    </rPh>
    <phoneticPr fontId="11"/>
  </si>
  <si>
    <t>目視・清掃</t>
    <rPh sb="0" eb="2">
      <t>モクシ</t>
    </rPh>
    <rPh sb="3" eb="5">
      <t>セイソウ</t>
    </rPh>
    <phoneticPr fontId="4"/>
  </si>
  <si>
    <t>使用済みワイヤ量の確認</t>
    <rPh sb="0" eb="3">
      <t>シヨウズ</t>
    </rPh>
    <rPh sb="7" eb="8">
      <t>リョウ</t>
    </rPh>
    <rPh sb="9" eb="11">
      <t>カクニン</t>
    </rPh>
    <phoneticPr fontId="4"/>
  </si>
  <si>
    <t>終始</t>
    <rPh sb="0" eb="2">
      <t>シュウシ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</si>
</sst>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"/>
    <numFmt numFmtId="177" formatCode="m/d;@"/>
    <numFmt numFmtId="178" formatCode="@&quot;年&quot;"/>
    <numFmt numFmtId="179" formatCode="d"/>
    <numFmt numFmtId="180" formatCode="@&quot; 年度&quot;"/>
  </numFmts>
  <fonts count="27"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b/>
      <u val="double"/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ＭＳ Ｐゴシック"/>
      <family val="3"/>
      <charset val="128"/>
    </font>
    <font>
      <sz val="16"/>
      <name val="明朝"/>
      <family val="1"/>
      <charset val="128"/>
    </font>
    <font>
      <sz val="9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游ゴシック"/>
      <family val="2"/>
      <charset val="128"/>
      <scheme val="minor"/>
    </font>
    <font>
      <sz val="11"/>
      <color theme="0"/>
      <name val="ＭＳ ゴシック"/>
      <family val="3"/>
      <charset val="128"/>
    </font>
    <font>
      <sz val="12"/>
      <color theme="0"/>
      <name val="ＭＳ 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b/>
      <sz val="18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6"/>
      <name val="ＭＳ Ｐゴシック"/>
      <family val="1"/>
      <charset val="128"/>
    </font>
    <font>
      <b/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4">
    <xf numFmtId="0" fontId="0" fillId="0" borderId="0" xfId="0">
      <alignment vertical="center"/>
    </xf>
    <xf numFmtId="0" fontId="5" fillId="0" borderId="0" xfId="1" applyFont="1" applyAlignment="1">
      <alignment horizontal="centerContinuous" vertical="center"/>
    </xf>
    <xf numFmtId="0" fontId="5" fillId="0" borderId="0" xfId="1" applyFont="1"/>
    <xf numFmtId="0" fontId="1" fillId="0" borderId="0" xfId="1"/>
    <xf numFmtId="0" fontId="6" fillId="0" borderId="0" xfId="1" applyFont="1" applyAlignment="1">
      <alignment horizontal="centerContinuous" vertical="center"/>
    </xf>
    <xf numFmtId="0" fontId="7" fillId="0" borderId="0" xfId="1" applyFont="1"/>
    <xf numFmtId="0" fontId="8" fillId="0" borderId="0" xfId="1" applyFont="1"/>
    <xf numFmtId="0" fontId="9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8" fillId="0" borderId="9" xfId="1" applyFont="1" applyBorder="1"/>
    <xf numFmtId="0" fontId="8" fillId="0" borderId="0" xfId="1" applyFont="1" applyAlignment="1">
      <alignment horizontal="centerContinuous" vertical="center"/>
    </xf>
    <xf numFmtId="0" fontId="1" fillId="0" borderId="13" xfId="1" applyBorder="1"/>
    <xf numFmtId="0" fontId="1" fillId="0" borderId="14" xfId="1" applyBorder="1"/>
    <xf numFmtId="0" fontId="9" fillId="0" borderId="15" xfId="1" applyFont="1" applyBorder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/>
    <xf numFmtId="0" fontId="5" fillId="0" borderId="17" xfId="1" applyFont="1" applyBorder="1"/>
    <xf numFmtId="0" fontId="5" fillId="0" borderId="18" xfId="1" applyFont="1" applyBorder="1" applyAlignment="1">
      <alignment horizontal="left" vertical="center"/>
    </xf>
    <xf numFmtId="0" fontId="5" fillId="0" borderId="19" xfId="1" applyFont="1" applyBorder="1" applyAlignment="1">
      <alignment horizontal="center" vertical="center"/>
    </xf>
    <xf numFmtId="0" fontId="5" fillId="0" borderId="19" xfId="1" applyFont="1" applyBorder="1"/>
    <xf numFmtId="0" fontId="5" fillId="0" borderId="20" xfId="1" applyFont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176" fontId="8" fillId="0" borderId="0" xfId="1" applyNumberFormat="1" applyFont="1"/>
    <xf numFmtId="0" fontId="8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Continuous" vertical="center"/>
    </xf>
    <xf numFmtId="0" fontId="9" fillId="0" borderId="25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Continuous"/>
    </xf>
    <xf numFmtId="0" fontId="5" fillId="0" borderId="32" xfId="1" applyFont="1" applyBorder="1"/>
    <xf numFmtId="0" fontId="5" fillId="0" borderId="32" xfId="1" applyFont="1" applyBorder="1" applyAlignment="1">
      <alignment horizontal="center"/>
    </xf>
    <xf numFmtId="0" fontId="5" fillId="0" borderId="35" xfId="1" applyFont="1" applyBorder="1" applyAlignment="1">
      <alignment horizontal="centerContinuous"/>
    </xf>
    <xf numFmtId="0" fontId="9" fillId="0" borderId="35" xfId="1" applyFont="1" applyBorder="1" applyAlignment="1">
      <alignment horizontal="centerContinuous"/>
    </xf>
    <xf numFmtId="0" fontId="9" fillId="0" borderId="32" xfId="1" applyFont="1" applyBorder="1" applyAlignment="1">
      <alignment horizontal="center"/>
    </xf>
    <xf numFmtId="0" fontId="5" fillId="0" borderId="32" xfId="1" applyFont="1" applyBorder="1" applyAlignment="1">
      <alignment wrapText="1"/>
    </xf>
    <xf numFmtId="0" fontId="9" fillId="0" borderId="39" xfId="1" applyFont="1" applyBorder="1" applyAlignment="1">
      <alignment horizontal="centerContinuous"/>
    </xf>
    <xf numFmtId="0" fontId="15" fillId="0" borderId="40" xfId="1" applyFont="1" applyBorder="1" applyAlignment="1">
      <alignment vertical="center" wrapText="1"/>
    </xf>
    <xf numFmtId="0" fontId="5" fillId="0" borderId="41" xfId="1" applyFont="1" applyBorder="1" applyAlignment="1">
      <alignment horizontal="center"/>
    </xf>
    <xf numFmtId="0" fontId="5" fillId="0" borderId="45" xfId="1" applyFont="1" applyBorder="1"/>
    <xf numFmtId="0" fontId="9" fillId="0" borderId="47" xfId="1" applyFont="1" applyBorder="1" applyAlignment="1">
      <alignment horizontal="center" vertical="center"/>
    </xf>
    <xf numFmtId="0" fontId="9" fillId="0" borderId="48" xfId="1" applyFont="1" applyBorder="1" applyAlignment="1">
      <alignment horizontal="left" vertical="center"/>
    </xf>
    <xf numFmtId="0" fontId="9" fillId="0" borderId="50" xfId="1" applyFont="1" applyBorder="1" applyAlignment="1">
      <alignment horizontal="center" vertical="center"/>
    </xf>
    <xf numFmtId="0" fontId="16" fillId="0" borderId="50" xfId="1" applyFont="1" applyBorder="1" applyAlignment="1">
      <alignment horizontal="center" vertical="center"/>
    </xf>
    <xf numFmtId="0" fontId="5" fillId="0" borderId="21" xfId="1" applyFont="1" applyBorder="1"/>
    <xf numFmtId="0" fontId="5" fillId="0" borderId="22" xfId="1" applyFont="1" applyBorder="1"/>
    <xf numFmtId="0" fontId="17" fillId="0" borderId="0" xfId="1" applyFont="1"/>
    <xf numFmtId="0" fontId="0" fillId="2" borderId="0" xfId="0" applyFill="1">
      <alignment vertical="center"/>
    </xf>
    <xf numFmtId="0" fontId="5" fillId="0" borderId="44" xfId="1" applyFont="1" applyBorder="1" applyAlignment="1">
      <alignment horizontal="centerContinuous" vertical="center"/>
    </xf>
    <xf numFmtId="0" fontId="5" fillId="0" borderId="45" xfId="1" applyFont="1" applyBorder="1" applyAlignment="1">
      <alignment horizontal="centerContinuous" vertical="center"/>
    </xf>
    <xf numFmtId="0" fontId="5" fillId="0" borderId="45" xfId="1" applyFont="1" applyBorder="1" applyAlignment="1">
      <alignment horizontal="center"/>
    </xf>
    <xf numFmtId="0" fontId="5" fillId="0" borderId="46" xfId="1" applyFont="1" applyBorder="1" applyAlignment="1">
      <alignment horizontal="center"/>
    </xf>
    <xf numFmtId="0" fontId="5" fillId="0" borderId="45" xfId="1" applyFont="1" applyBorder="1" applyAlignment="1">
      <alignment wrapText="1"/>
    </xf>
    <xf numFmtId="177" fontId="5" fillId="0" borderId="48" xfId="1" applyNumberFormat="1" applyFont="1" applyBorder="1" applyAlignment="1">
      <alignment wrapText="1"/>
    </xf>
    <xf numFmtId="177" fontId="5" fillId="0" borderId="51" xfId="1" applyNumberFormat="1" applyFont="1" applyBorder="1" applyAlignment="1">
      <alignment wrapText="1"/>
    </xf>
    <xf numFmtId="177" fontId="5" fillId="0" borderId="22" xfId="1" applyNumberFormat="1" applyFont="1" applyBorder="1" applyAlignment="1">
      <alignment wrapText="1"/>
    </xf>
    <xf numFmtId="0" fontId="5" fillId="0" borderId="48" xfId="1" applyFont="1" applyBorder="1" applyAlignment="1">
      <alignment horizontal="center"/>
    </xf>
    <xf numFmtId="0" fontId="5" fillId="0" borderId="5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177" fontId="19" fillId="0" borderId="0" xfId="1" applyNumberFormat="1" applyFont="1" applyAlignment="1">
      <alignment wrapText="1"/>
    </xf>
    <xf numFmtId="0" fontId="18" fillId="0" borderId="0" xfId="0" applyFont="1">
      <alignment vertical="center"/>
    </xf>
    <xf numFmtId="0" fontId="20" fillId="0" borderId="0" xfId="1" applyFont="1" applyAlignment="1">
      <alignment horizontal="left" vertical="center"/>
    </xf>
    <xf numFmtId="0" fontId="19" fillId="0" borderId="0" xfId="1" applyFont="1"/>
    <xf numFmtId="0" fontId="8" fillId="0" borderId="33" xfId="1" applyFont="1" applyBorder="1" applyAlignment="1">
      <alignment horizontal="center"/>
    </xf>
    <xf numFmtId="0" fontId="8" fillId="0" borderId="33" xfId="1" applyFont="1" applyBorder="1" applyAlignment="1">
      <alignment horizontal="center" wrapText="1"/>
    </xf>
    <xf numFmtId="0" fontId="8" fillId="0" borderId="36" xfId="1" applyFont="1" applyBorder="1" applyAlignment="1">
      <alignment horizontal="center" wrapText="1"/>
    </xf>
    <xf numFmtId="0" fontId="8" fillId="0" borderId="38" xfId="1" applyFont="1" applyBorder="1" applyAlignment="1">
      <alignment horizontal="center" wrapText="1"/>
    </xf>
    <xf numFmtId="0" fontId="8" fillId="0" borderId="42" xfId="1" applyFont="1" applyBorder="1" applyAlignment="1">
      <alignment horizontal="center" wrapText="1"/>
    </xf>
    <xf numFmtId="0" fontId="8" fillId="0" borderId="22" xfId="1" applyFont="1" applyBorder="1" applyAlignment="1">
      <alignment horizontal="center" wrapText="1"/>
    </xf>
    <xf numFmtId="0" fontId="8" fillId="0" borderId="43" xfId="1" applyFont="1" applyBorder="1" applyAlignment="1">
      <alignment horizontal="center" wrapText="1"/>
    </xf>
    <xf numFmtId="0" fontId="5" fillId="0" borderId="45" xfId="1" applyFont="1" applyBorder="1" applyAlignment="1">
      <alignment horizontal="center" wrapText="1"/>
    </xf>
    <xf numFmtId="177" fontId="5" fillId="0" borderId="45" xfId="1" applyNumberFormat="1" applyFont="1" applyBorder="1" applyAlignment="1">
      <alignment horizontal="center" wrapText="1"/>
    </xf>
    <xf numFmtId="0" fontId="5" fillId="0" borderId="48" xfId="1" applyFont="1" applyBorder="1" applyAlignment="1">
      <alignment horizontal="center" wrapText="1"/>
    </xf>
    <xf numFmtId="177" fontId="5" fillId="0" borderId="48" xfId="1" applyNumberFormat="1" applyFont="1" applyBorder="1" applyAlignment="1">
      <alignment horizontal="center" wrapText="1"/>
    </xf>
    <xf numFmtId="0" fontId="5" fillId="0" borderId="49" xfId="1" applyFont="1" applyBorder="1" applyAlignment="1">
      <alignment horizontal="center"/>
    </xf>
    <xf numFmtId="177" fontId="5" fillId="0" borderId="51" xfId="1" applyNumberFormat="1" applyFont="1" applyBorder="1" applyAlignment="1">
      <alignment horizontal="center" wrapText="1"/>
    </xf>
    <xf numFmtId="0" fontId="5" fillId="0" borderId="52" xfId="1" applyFont="1" applyBorder="1" applyAlignment="1">
      <alignment horizontal="center"/>
    </xf>
    <xf numFmtId="0" fontId="5" fillId="0" borderId="53" xfId="1" applyFont="1" applyBorder="1" applyAlignment="1">
      <alignment horizontal="center" wrapText="1"/>
    </xf>
    <xf numFmtId="177" fontId="5" fillId="0" borderId="22" xfId="1" applyNumberFormat="1" applyFont="1" applyBorder="1" applyAlignment="1">
      <alignment horizontal="center" wrapText="1"/>
    </xf>
    <xf numFmtId="0" fontId="5" fillId="0" borderId="23" xfId="1" applyFont="1" applyBorder="1" applyAlignment="1">
      <alignment horizontal="center"/>
    </xf>
    <xf numFmtId="0" fontId="23" fillId="0" borderId="19" xfId="1" applyFont="1" applyBorder="1" applyAlignment="1">
      <alignment horizontal="centerContinuous"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9" fillId="0" borderId="48" xfId="1" applyFont="1" applyBorder="1" applyAlignment="1">
      <alignment horizontal="right" vertical="center"/>
    </xf>
    <xf numFmtId="0" fontId="9" fillId="0" borderId="51" xfId="1" applyFont="1" applyBorder="1" applyAlignment="1">
      <alignment horizontal="right" vertical="center"/>
    </xf>
    <xf numFmtId="0" fontId="5" fillId="0" borderId="48" xfId="1" applyFont="1" applyBorder="1" applyAlignment="1">
      <alignment horizontal="left" vertical="center"/>
    </xf>
    <xf numFmtId="0" fontId="5" fillId="0" borderId="51" xfId="1" applyFont="1" applyBorder="1" applyAlignment="1">
      <alignment horizontal="left" vertical="center"/>
    </xf>
    <xf numFmtId="0" fontId="5" fillId="0" borderId="32" xfId="1" applyFont="1" applyBorder="1" applyAlignment="1">
      <alignment horizontal="left" vertical="center"/>
    </xf>
    <xf numFmtId="0" fontId="5" fillId="0" borderId="32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5" fillId="0" borderId="62" xfId="1" applyFont="1" applyBorder="1" applyAlignment="1">
      <alignment vertical="center" wrapText="1"/>
    </xf>
    <xf numFmtId="0" fontId="5" fillId="0" borderId="32" xfId="1" applyFont="1" applyBorder="1" applyAlignment="1">
      <alignment vertical="center" wrapText="1"/>
    </xf>
    <xf numFmtId="179" fontId="13" fillId="0" borderId="26" xfId="1" applyNumberFormat="1" applyFont="1" applyBorder="1" applyAlignment="1">
      <alignment horizontal="center" vertical="center"/>
    </xf>
    <xf numFmtId="176" fontId="26" fillId="0" borderId="0" xfId="1" applyNumberFormat="1" applyFont="1" applyAlignment="1">
      <alignment horizontal="center"/>
    </xf>
    <xf numFmtId="0" fontId="5" fillId="0" borderId="35" xfId="1" applyFont="1" applyBorder="1" applyAlignment="1">
      <alignment horizontal="center" vertical="center"/>
    </xf>
    <xf numFmtId="0" fontId="5" fillId="0" borderId="15" xfId="1" applyFont="1" applyBorder="1" applyAlignment="1">
      <alignment horizontal="left" vertical="center"/>
    </xf>
    <xf numFmtId="49" fontId="5" fillId="0" borderId="35" xfId="1" applyNumberFormat="1" applyFont="1" applyBorder="1" applyAlignment="1">
      <alignment horizontal="center"/>
    </xf>
    <xf numFmtId="0" fontId="5" fillId="0" borderId="32" xfId="1" applyFont="1" applyBorder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179" fontId="13" fillId="0" borderId="77" xfId="1" applyNumberFormat="1" applyFont="1" applyBorder="1" applyAlignment="1">
      <alignment horizontal="center" vertical="center"/>
    </xf>
    <xf numFmtId="0" fontId="5" fillId="0" borderId="57" xfId="1" applyFont="1" applyBorder="1" applyAlignment="1">
      <alignment horizontal="left" vertical="center"/>
    </xf>
    <xf numFmtId="0" fontId="5" fillId="0" borderId="58" xfId="1" applyFont="1" applyBorder="1" applyAlignment="1">
      <alignment horizontal="left" vertical="center"/>
    </xf>
    <xf numFmtId="0" fontId="5" fillId="0" borderId="64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22" fillId="0" borderId="19" xfId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9" fillId="0" borderId="54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4" fillId="0" borderId="55" xfId="1" applyFont="1" applyBorder="1" applyAlignment="1">
      <alignment vertical="center"/>
    </xf>
    <xf numFmtId="0" fontId="14" fillId="0" borderId="56" xfId="1" applyFont="1" applyBorder="1" applyAlignment="1">
      <alignment vertical="center"/>
    </xf>
    <xf numFmtId="14" fontId="5" fillId="0" borderId="3" xfId="1" applyNumberFormat="1" applyFont="1" applyBorder="1" applyAlignment="1">
      <alignment horizontal="center" vertical="center"/>
    </xf>
    <xf numFmtId="0" fontId="10" fillId="0" borderId="10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178" fontId="25" fillId="0" borderId="13" xfId="1" applyNumberFormat="1" applyFont="1" applyBorder="1" applyAlignment="1">
      <alignment horizontal="right" vertical="center"/>
    </xf>
    <xf numFmtId="178" fontId="12" fillId="0" borderId="0" xfId="1" applyNumberFormat="1" applyFont="1" applyAlignment="1">
      <alignment horizontal="right" vertical="center"/>
    </xf>
    <xf numFmtId="178" fontId="12" fillId="0" borderId="13" xfId="1" applyNumberFormat="1" applyFont="1" applyBorder="1" applyAlignment="1">
      <alignment horizontal="right" vertical="center"/>
    </xf>
    <xf numFmtId="178" fontId="12" fillId="0" borderId="21" xfId="1" applyNumberFormat="1" applyFont="1" applyBorder="1" applyAlignment="1">
      <alignment horizontal="right" vertical="center"/>
    </xf>
    <xf numFmtId="178" fontId="12" fillId="0" borderId="22" xfId="1" applyNumberFormat="1" applyFont="1" applyBorder="1" applyAlignment="1">
      <alignment horizontal="right" vertical="center"/>
    </xf>
    <xf numFmtId="0" fontId="25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12" fillId="0" borderId="23" xfId="1" applyFont="1" applyBorder="1" applyAlignment="1">
      <alignment horizontal="left" vertical="center"/>
    </xf>
    <xf numFmtId="0" fontId="1" fillId="0" borderId="13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4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0" borderId="23" xfId="1" applyBorder="1" applyAlignment="1">
      <alignment horizontal="center"/>
    </xf>
    <xf numFmtId="0" fontId="9" fillId="0" borderId="61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5" fillId="0" borderId="57" xfId="1" applyFont="1" applyBorder="1" applyAlignment="1">
      <alignment horizontal="left" vertical="center" wrapText="1"/>
    </xf>
    <xf numFmtId="0" fontId="5" fillId="0" borderId="58" xfId="1" applyFont="1" applyBorder="1" applyAlignment="1">
      <alignment horizontal="left" vertical="center" wrapText="1"/>
    </xf>
    <xf numFmtId="0" fontId="5" fillId="0" borderId="63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wrapText="1"/>
    </xf>
    <xf numFmtId="0" fontId="5" fillId="0" borderId="76" xfId="1" applyFont="1" applyBorder="1" applyAlignment="1">
      <alignment horizontal="center" wrapText="1"/>
    </xf>
    <xf numFmtId="177" fontId="5" fillId="0" borderId="53" xfId="1" applyNumberFormat="1" applyFont="1" applyBorder="1" applyAlignment="1">
      <alignment horizontal="center" wrapText="1"/>
    </xf>
    <xf numFmtId="0" fontId="8" fillId="0" borderId="45" xfId="1" applyFont="1" applyBorder="1" applyAlignment="1">
      <alignment horizontal="center" vertical="top"/>
    </xf>
    <xf numFmtId="0" fontId="5" fillId="0" borderId="45" xfId="1" applyFont="1" applyBorder="1" applyAlignment="1">
      <alignment horizontal="center" wrapText="1"/>
    </xf>
    <xf numFmtId="0" fontId="5" fillId="0" borderId="46" xfId="1" applyFont="1" applyBorder="1" applyAlignment="1">
      <alignment horizontal="center" wrapText="1"/>
    </xf>
    <xf numFmtId="0" fontId="5" fillId="0" borderId="48" xfId="1" applyFont="1" applyBorder="1" applyAlignment="1">
      <alignment horizontal="center" wrapText="1"/>
    </xf>
    <xf numFmtId="0" fontId="5" fillId="0" borderId="49" xfId="1" applyFont="1" applyBorder="1" applyAlignment="1">
      <alignment horizontal="center" wrapText="1"/>
    </xf>
    <xf numFmtId="177" fontId="5" fillId="0" borderId="48" xfId="1" applyNumberFormat="1" applyFont="1" applyBorder="1" applyAlignment="1">
      <alignment horizontal="center" wrapText="1"/>
    </xf>
    <xf numFmtId="0" fontId="15" fillId="0" borderId="59" xfId="1" applyFont="1" applyBorder="1" applyAlignment="1">
      <alignment horizontal="left" vertical="center" wrapText="1"/>
    </xf>
    <xf numFmtId="0" fontId="15" fillId="0" borderId="60" xfId="1" applyFont="1" applyBorder="1" applyAlignment="1">
      <alignment horizontal="left" vertical="center" wrapText="1"/>
    </xf>
    <xf numFmtId="0" fontId="5" fillId="0" borderId="57" xfId="1" applyFont="1" applyBorder="1" applyAlignment="1">
      <alignment wrapText="1"/>
    </xf>
    <xf numFmtId="0" fontId="5" fillId="0" borderId="58" xfId="1" applyFont="1" applyBorder="1" applyAlignment="1">
      <alignment wrapText="1"/>
    </xf>
    <xf numFmtId="0" fontId="8" fillId="0" borderId="71" xfId="1" applyFont="1" applyBorder="1" applyAlignment="1">
      <alignment horizontal="right"/>
    </xf>
    <xf numFmtId="0" fontId="8" fillId="0" borderId="72" xfId="1" applyFont="1" applyBorder="1" applyAlignment="1">
      <alignment horizontal="right"/>
    </xf>
    <xf numFmtId="0" fontId="8" fillId="0" borderId="73" xfId="1" applyFont="1" applyBorder="1" applyAlignment="1">
      <alignment horizontal="right"/>
    </xf>
    <xf numFmtId="0" fontId="5" fillId="0" borderId="53" xfId="1" applyFont="1" applyBorder="1" applyAlignment="1">
      <alignment horizontal="left" wrapText="1"/>
    </xf>
    <xf numFmtId="179" fontId="13" fillId="0" borderId="66" xfId="1" applyNumberFormat="1" applyFont="1" applyBorder="1" applyAlignment="1">
      <alignment horizontal="center" vertical="center"/>
    </xf>
    <xf numFmtId="179" fontId="13" fillId="0" borderId="67" xfId="1" applyNumberFormat="1" applyFont="1" applyBorder="1" applyAlignment="1">
      <alignment horizontal="center" vertical="center"/>
    </xf>
    <xf numFmtId="179" fontId="13" fillId="0" borderId="74" xfId="1" applyNumberFormat="1" applyFont="1" applyBorder="1" applyAlignment="1">
      <alignment horizontal="center" vertical="center"/>
    </xf>
    <xf numFmtId="0" fontId="5" fillId="0" borderId="48" xfId="1" applyFont="1" applyBorder="1" applyAlignment="1">
      <alignment horizontal="left" wrapText="1"/>
    </xf>
    <xf numFmtId="0" fontId="5" fillId="0" borderId="45" xfId="1" applyFont="1" applyBorder="1" applyAlignment="1">
      <alignment horizontal="left" wrapText="1"/>
    </xf>
    <xf numFmtId="0" fontId="8" fillId="0" borderId="57" xfId="1" applyFont="1" applyBorder="1" applyAlignment="1">
      <alignment horizontal="left" vertical="center"/>
    </xf>
    <xf numFmtId="0" fontId="8" fillId="0" borderId="58" xfId="1" applyFont="1" applyBorder="1" applyAlignment="1">
      <alignment horizontal="left" vertical="center"/>
    </xf>
    <xf numFmtId="180" fontId="25" fillId="0" borderId="13" xfId="1" applyNumberFormat="1" applyFont="1" applyBorder="1" applyAlignment="1">
      <alignment horizontal="center" vertical="center"/>
    </xf>
    <xf numFmtId="180" fontId="25" fillId="0" borderId="0" xfId="1" applyNumberFormat="1" applyFont="1" applyAlignment="1">
      <alignment horizontal="center" vertical="center"/>
    </xf>
    <xf numFmtId="180" fontId="25" fillId="0" borderId="14" xfId="1" applyNumberFormat="1" applyFont="1" applyBorder="1" applyAlignment="1">
      <alignment horizontal="center" vertical="center"/>
    </xf>
    <xf numFmtId="180" fontId="25" fillId="0" borderId="21" xfId="1" applyNumberFormat="1" applyFont="1" applyBorder="1" applyAlignment="1">
      <alignment horizontal="center" vertical="center"/>
    </xf>
    <xf numFmtId="180" fontId="25" fillId="0" borderId="22" xfId="1" applyNumberFormat="1" applyFont="1" applyBorder="1" applyAlignment="1">
      <alignment horizontal="center" vertical="center"/>
    </xf>
    <xf numFmtId="180" fontId="25" fillId="0" borderId="23" xfId="1" applyNumberFormat="1" applyFont="1" applyBorder="1" applyAlignment="1">
      <alignment horizontal="center" vertical="center"/>
    </xf>
    <xf numFmtId="0" fontId="14" fillId="0" borderId="75" xfId="1" applyFont="1" applyBorder="1" applyAlignment="1">
      <alignment vertical="center"/>
    </xf>
    <xf numFmtId="0" fontId="14" fillId="0" borderId="32" xfId="1" applyFont="1" applyBorder="1" applyAlignment="1">
      <alignment vertical="center"/>
    </xf>
    <xf numFmtId="0" fontId="8" fillId="0" borderId="68" xfId="1" applyFont="1" applyBorder="1" applyAlignment="1">
      <alignment horizontal="right"/>
    </xf>
    <xf numFmtId="0" fontId="8" fillId="0" borderId="69" xfId="1" applyFont="1" applyBorder="1" applyAlignment="1">
      <alignment horizontal="right"/>
    </xf>
    <xf numFmtId="0" fontId="8" fillId="0" borderId="70" xfId="1" applyFont="1" applyBorder="1" applyAlignment="1">
      <alignment horizontal="right"/>
    </xf>
  </cellXfs>
  <cellStyles count="2">
    <cellStyle name="標準" xfId="0" builtinId="0"/>
    <cellStyle name="標準_設備点検表書式" xfId="1" xr:uid="{15F629F0-A893-4DD8-8A94-9D447F97F79C}"/>
  </cellStyles>
  <dxfs count="10">
    <dxf>
      <font>
        <strike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  <color theme="1"/>
      </font>
      <fill>
        <patternFill>
          <bgColor theme="9" tint="0.79998168889431442"/>
        </patternFill>
      </fill>
    </dxf>
    <dxf>
      <font>
        <strike val="0"/>
        <color theme="1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B1D4-5430-4125-92FD-1CBC3FF0E12C}">
  <sheetPr>
    <pageSetUpPr fitToPage="1"/>
  </sheetPr>
  <dimension ref="A1:IT45"/>
  <sheetViews>
    <sheetView tabSelected="1" topLeftCell="C6" zoomScale="70" zoomScaleNormal="70" workbookViewId="0">
      <selection activeCell="X12" sqref="X12"/>
    </sheetView>
  </sheetViews>
  <sheetFormatPr defaultRowHeight="18"/>
  <cols>
    <col min="2" max="2" width="29.9140625" customWidth="1"/>
    <col min="3" max="3" width="5.5" customWidth="1"/>
    <col min="4" max="4" width="17" customWidth="1"/>
    <col min="5" max="5" width="24.4140625" hidden="1" customWidth="1"/>
    <col min="7" max="37" width="5.4140625" customWidth="1"/>
  </cols>
  <sheetData>
    <row r="1" spans="1:254" s="2" customFormat="1" ht="30" customHeight="1" thickBot="1">
      <c r="A1" s="121" t="s">
        <v>26</v>
      </c>
      <c r="B1" s="121"/>
      <c r="C1" s="85"/>
      <c r="F1" s="122" t="s">
        <v>30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</row>
    <row r="2" spans="1:254" s="2" customFormat="1" ht="15.65" customHeight="1" thickTop="1" thickBot="1">
      <c r="A2" s="4"/>
      <c r="B2" s="1"/>
      <c r="C2" s="1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</row>
    <row r="3" spans="1:254" s="2" customFormat="1" ht="20" customHeight="1" thickBot="1">
      <c r="A3" s="123" t="s">
        <v>51</v>
      </c>
      <c r="B3" s="124"/>
      <c r="C3" s="124"/>
      <c r="D3" s="125"/>
      <c r="E3" s="94"/>
      <c r="G3" s="51"/>
      <c r="H3" s="67" t="s">
        <v>21</v>
      </c>
      <c r="K3" s="126" t="s">
        <v>0</v>
      </c>
      <c r="L3" s="126"/>
      <c r="M3" s="126" t="s">
        <v>1</v>
      </c>
      <c r="N3" s="126"/>
      <c r="O3" s="126"/>
      <c r="P3" s="126" t="s">
        <v>2</v>
      </c>
      <c r="Q3" s="126"/>
      <c r="R3" s="126"/>
      <c r="S3" s="3"/>
      <c r="T3" s="127" t="s">
        <v>3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9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</row>
    <row r="4" spans="1:254" s="2" customFormat="1" ht="20" customHeight="1">
      <c r="A4" s="7" t="s">
        <v>52</v>
      </c>
      <c r="B4" s="8"/>
      <c r="C4" s="8"/>
      <c r="D4" s="9"/>
      <c r="E4" s="6"/>
      <c r="G4" s="51"/>
      <c r="H4" s="67" t="s">
        <v>22</v>
      </c>
      <c r="K4" s="126" t="s">
        <v>4</v>
      </c>
      <c r="L4" s="126"/>
      <c r="M4" s="132">
        <v>46113</v>
      </c>
      <c r="N4" s="132"/>
      <c r="O4" s="132"/>
      <c r="P4" s="126" t="s">
        <v>50</v>
      </c>
      <c r="Q4" s="126"/>
      <c r="R4" s="126"/>
      <c r="S4" s="3"/>
      <c r="T4" s="133" t="s">
        <v>5</v>
      </c>
      <c r="U4" s="134"/>
      <c r="V4" s="134"/>
      <c r="W4" s="134"/>
      <c r="X4" s="134"/>
      <c r="Y4" s="135"/>
      <c r="Z4" s="133" t="s">
        <v>6</v>
      </c>
      <c r="AA4" s="134"/>
      <c r="AB4" s="134"/>
      <c r="AC4" s="135"/>
      <c r="AD4" s="133" t="s">
        <v>7</v>
      </c>
      <c r="AE4" s="134"/>
      <c r="AF4" s="134"/>
      <c r="AG4" s="135"/>
      <c r="AH4" s="133" t="s">
        <v>8</v>
      </c>
      <c r="AI4" s="134"/>
      <c r="AJ4" s="134"/>
      <c r="AK4" s="135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2" customFormat="1" ht="12" customHeight="1" thickBot="1">
      <c r="A5" s="10"/>
      <c r="B5" s="1"/>
      <c r="C5" s="1"/>
      <c r="D5" s="6"/>
      <c r="E5" s="6"/>
      <c r="G5" s="51"/>
      <c r="H5" s="67" t="s">
        <v>23</v>
      </c>
      <c r="S5" s="3"/>
      <c r="T5" s="136" t="s">
        <v>64</v>
      </c>
      <c r="U5" s="137"/>
      <c r="V5" s="137"/>
      <c r="W5" s="141">
        <v>7</v>
      </c>
      <c r="X5" s="142"/>
      <c r="Y5" s="143"/>
      <c r="Z5" s="11"/>
      <c r="AA5" s="3"/>
      <c r="AB5" s="3"/>
      <c r="AC5" s="12"/>
      <c r="AD5" s="11"/>
      <c r="AE5" s="3"/>
      <c r="AF5" s="3"/>
      <c r="AG5" s="12"/>
      <c r="AH5" s="146"/>
      <c r="AI5" s="147"/>
      <c r="AJ5" s="147"/>
      <c r="AK5" s="148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</row>
    <row r="6" spans="1:254" s="2" customFormat="1" ht="18.75" customHeight="1" thickTop="1">
      <c r="A6" s="13" t="s">
        <v>123</v>
      </c>
      <c r="B6" s="14"/>
      <c r="C6" s="14"/>
      <c r="D6" s="15"/>
      <c r="E6" s="15"/>
      <c r="F6" s="16"/>
      <c r="G6" s="51"/>
      <c r="H6" s="67" t="s">
        <v>24</v>
      </c>
      <c r="R6" s="3"/>
      <c r="S6" s="3"/>
      <c r="T6" s="138"/>
      <c r="U6" s="137"/>
      <c r="V6" s="137"/>
      <c r="W6" s="142"/>
      <c r="X6" s="142"/>
      <c r="Y6" s="143"/>
      <c r="Z6" s="11"/>
      <c r="AA6" s="3"/>
      <c r="AB6" s="3"/>
      <c r="AC6" s="12"/>
      <c r="AD6" s="11"/>
      <c r="AE6" s="3"/>
      <c r="AF6" s="3"/>
      <c r="AG6" s="12"/>
      <c r="AH6" s="146"/>
      <c r="AI6" s="147"/>
      <c r="AJ6" s="147"/>
      <c r="AK6" s="148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</row>
    <row r="7" spans="1:254" s="2" customFormat="1" ht="18.75" customHeight="1" thickBot="1">
      <c r="A7" s="17" t="s">
        <v>9</v>
      </c>
      <c r="B7" s="18"/>
      <c r="C7" s="18"/>
      <c r="D7" s="19"/>
      <c r="E7" s="19"/>
      <c r="F7" s="20"/>
      <c r="G7" s="51"/>
      <c r="H7" s="67" t="s">
        <v>25</v>
      </c>
      <c r="R7" s="3"/>
      <c r="S7" s="3"/>
      <c r="T7" s="139"/>
      <c r="U7" s="140"/>
      <c r="V7" s="140"/>
      <c r="W7" s="144"/>
      <c r="X7" s="144"/>
      <c r="Y7" s="145"/>
      <c r="Z7" s="21"/>
      <c r="AA7" s="22"/>
      <c r="AB7" s="22"/>
      <c r="AC7" s="23"/>
      <c r="AD7" s="21"/>
      <c r="AE7" s="22"/>
      <c r="AF7" s="22"/>
      <c r="AG7" s="23"/>
      <c r="AH7" s="149"/>
      <c r="AI7" s="150"/>
      <c r="AJ7" s="150"/>
      <c r="AK7" s="151"/>
      <c r="AL7" s="86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</row>
    <row r="8" spans="1:254" s="2" customFormat="1" ht="20" customHeight="1" thickTop="1" thickBot="1">
      <c r="A8" s="6"/>
      <c r="B8" s="6"/>
      <c r="C8" s="6"/>
      <c r="D8" s="6"/>
      <c r="E8" s="6"/>
      <c r="F8" s="6"/>
      <c r="G8" s="103" t="s">
        <v>124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 t="str">
        <f t="shared" ref="U8:AK8" si="0">IF(DAY(U9)=1,U9,"")</f>
        <v/>
      </c>
      <c r="V8" s="24" t="str">
        <f t="shared" si="0"/>
        <v/>
      </c>
      <c r="W8" s="24" t="str">
        <f t="shared" si="0"/>
        <v/>
      </c>
      <c r="X8" s="24" t="str">
        <f t="shared" si="0"/>
        <v/>
      </c>
      <c r="Y8" s="24" t="str">
        <f t="shared" si="0"/>
        <v/>
      </c>
      <c r="Z8" s="24" t="str">
        <f t="shared" si="0"/>
        <v/>
      </c>
      <c r="AA8" s="24" t="str">
        <f t="shared" si="0"/>
        <v/>
      </c>
      <c r="AB8" s="24" t="str">
        <f t="shared" si="0"/>
        <v/>
      </c>
      <c r="AC8" s="24" t="str">
        <f t="shared" si="0"/>
        <v/>
      </c>
      <c r="AD8" s="24" t="str">
        <f t="shared" si="0"/>
        <v/>
      </c>
      <c r="AE8" s="24" t="str">
        <f t="shared" si="0"/>
        <v/>
      </c>
      <c r="AF8" s="24" t="str">
        <f t="shared" si="0"/>
        <v/>
      </c>
      <c r="AG8" s="24" t="str">
        <f t="shared" si="0"/>
        <v/>
      </c>
      <c r="AH8" s="98" t="str">
        <f t="shared" si="0"/>
        <v/>
      </c>
      <c r="AI8" s="98" t="str">
        <f t="shared" si="0"/>
        <v/>
      </c>
      <c r="AJ8" s="98" t="str">
        <f t="shared" si="0"/>
        <v/>
      </c>
      <c r="AK8" s="98" t="str">
        <f t="shared" si="0"/>
        <v/>
      </c>
      <c r="AL8" s="87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</row>
    <row r="9" spans="1:254" s="2" customFormat="1" ht="23" customHeight="1">
      <c r="A9" s="25"/>
      <c r="B9" s="26" t="s">
        <v>10</v>
      </c>
      <c r="C9" s="26"/>
      <c r="D9" s="27" t="s">
        <v>11</v>
      </c>
      <c r="E9" s="27" t="s">
        <v>48</v>
      </c>
      <c r="F9" s="28" t="s">
        <v>125</v>
      </c>
      <c r="G9" s="97">
        <f>DATE($T$5,$W$5,1)</f>
        <v>46204</v>
      </c>
      <c r="H9" s="97">
        <f>DATE($T$5,$W$5,2)</f>
        <v>46205</v>
      </c>
      <c r="I9" s="97">
        <f>DATE($T$5,$W$5,3)</f>
        <v>46206</v>
      </c>
      <c r="J9" s="97">
        <f t="shared" ref="J9:AK9" si="1">I9+1</f>
        <v>46207</v>
      </c>
      <c r="K9" s="97">
        <f t="shared" si="1"/>
        <v>46208</v>
      </c>
      <c r="L9" s="97">
        <f t="shared" si="1"/>
        <v>46209</v>
      </c>
      <c r="M9" s="97">
        <f t="shared" si="1"/>
        <v>46210</v>
      </c>
      <c r="N9" s="97">
        <f t="shared" si="1"/>
        <v>46211</v>
      </c>
      <c r="O9" s="97">
        <f t="shared" si="1"/>
        <v>46212</v>
      </c>
      <c r="P9" s="97">
        <f t="shared" si="1"/>
        <v>46213</v>
      </c>
      <c r="Q9" s="97">
        <f t="shared" si="1"/>
        <v>46214</v>
      </c>
      <c r="R9" s="97">
        <f t="shared" si="1"/>
        <v>46215</v>
      </c>
      <c r="S9" s="97">
        <f t="shared" si="1"/>
        <v>46216</v>
      </c>
      <c r="T9" s="97">
        <f t="shared" si="1"/>
        <v>46217</v>
      </c>
      <c r="U9" s="97">
        <f t="shared" si="1"/>
        <v>46218</v>
      </c>
      <c r="V9" s="97">
        <f t="shared" si="1"/>
        <v>46219</v>
      </c>
      <c r="W9" s="97">
        <f t="shared" si="1"/>
        <v>46220</v>
      </c>
      <c r="X9" s="97">
        <f t="shared" si="1"/>
        <v>46221</v>
      </c>
      <c r="Y9" s="97">
        <f t="shared" si="1"/>
        <v>46222</v>
      </c>
      <c r="Z9" s="97">
        <f t="shared" si="1"/>
        <v>46223</v>
      </c>
      <c r="AA9" s="97">
        <f t="shared" si="1"/>
        <v>46224</v>
      </c>
      <c r="AB9" s="97">
        <f t="shared" si="1"/>
        <v>46225</v>
      </c>
      <c r="AC9" s="97">
        <f t="shared" si="1"/>
        <v>46226</v>
      </c>
      <c r="AD9" s="97">
        <f t="shared" si="1"/>
        <v>46227</v>
      </c>
      <c r="AE9" s="97">
        <f t="shared" si="1"/>
        <v>46228</v>
      </c>
      <c r="AF9" s="97">
        <f t="shared" si="1"/>
        <v>46229</v>
      </c>
      <c r="AG9" s="97">
        <f t="shared" si="1"/>
        <v>46230</v>
      </c>
      <c r="AH9" s="97">
        <f t="shared" si="1"/>
        <v>46231</v>
      </c>
      <c r="AI9" s="97">
        <f t="shared" si="1"/>
        <v>46232</v>
      </c>
      <c r="AJ9" s="97">
        <f t="shared" si="1"/>
        <v>46233</v>
      </c>
      <c r="AK9" s="116">
        <f t="shared" si="1"/>
        <v>46234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</row>
    <row r="10" spans="1:254" s="2" customFormat="1" ht="23" customHeight="1">
      <c r="A10" s="29"/>
      <c r="B10" s="152"/>
      <c r="C10" s="153"/>
      <c r="D10" s="30"/>
      <c r="E10" s="30"/>
      <c r="F10" s="31" t="s">
        <v>126</v>
      </c>
      <c r="G10" s="32" t="str">
        <f>TEXT(G9,"aaa")</f>
        <v>水</v>
      </c>
      <c r="H10" s="32" t="str">
        <f>TEXT(H9,"aaa")</f>
        <v>木</v>
      </c>
      <c r="I10" s="32" t="str">
        <f t="shared" ref="I10:AK10" si="2">TEXT(I9,"aaa")</f>
        <v>金</v>
      </c>
      <c r="J10" s="32" t="str">
        <f t="shared" si="2"/>
        <v>土</v>
      </c>
      <c r="K10" s="32" t="str">
        <f t="shared" si="2"/>
        <v>日</v>
      </c>
      <c r="L10" s="32" t="str">
        <f t="shared" si="2"/>
        <v>月</v>
      </c>
      <c r="M10" s="32" t="str">
        <f t="shared" si="2"/>
        <v>火</v>
      </c>
      <c r="N10" s="32" t="str">
        <f t="shared" si="2"/>
        <v>水</v>
      </c>
      <c r="O10" s="32" t="str">
        <f t="shared" si="2"/>
        <v>木</v>
      </c>
      <c r="P10" s="32" t="str">
        <f t="shared" si="2"/>
        <v>金</v>
      </c>
      <c r="Q10" s="32" t="str">
        <f t="shared" si="2"/>
        <v>土</v>
      </c>
      <c r="R10" s="32" t="str">
        <f t="shared" si="2"/>
        <v>日</v>
      </c>
      <c r="S10" s="32" t="str">
        <f t="shared" si="2"/>
        <v>月</v>
      </c>
      <c r="T10" s="32" t="str">
        <f t="shared" si="2"/>
        <v>火</v>
      </c>
      <c r="U10" s="32" t="str">
        <f t="shared" si="2"/>
        <v>水</v>
      </c>
      <c r="V10" s="32" t="str">
        <f t="shared" si="2"/>
        <v>木</v>
      </c>
      <c r="W10" s="32" t="str">
        <f t="shared" si="2"/>
        <v>金</v>
      </c>
      <c r="X10" s="32" t="str">
        <f t="shared" si="2"/>
        <v>土</v>
      </c>
      <c r="Y10" s="32" t="str">
        <f t="shared" si="2"/>
        <v>日</v>
      </c>
      <c r="Z10" s="32" t="str">
        <f t="shared" si="2"/>
        <v>月</v>
      </c>
      <c r="AA10" s="32" t="str">
        <f t="shared" si="2"/>
        <v>火</v>
      </c>
      <c r="AB10" s="32" t="str">
        <f t="shared" si="2"/>
        <v>水</v>
      </c>
      <c r="AC10" s="32" t="str">
        <f t="shared" si="2"/>
        <v>木</v>
      </c>
      <c r="AD10" s="32" t="str">
        <f t="shared" si="2"/>
        <v>金</v>
      </c>
      <c r="AE10" s="32" t="str">
        <f t="shared" si="2"/>
        <v>土</v>
      </c>
      <c r="AF10" s="32" t="str">
        <f t="shared" si="2"/>
        <v>日</v>
      </c>
      <c r="AG10" s="32" t="str">
        <f t="shared" si="2"/>
        <v>月</v>
      </c>
      <c r="AH10" s="32" t="str">
        <f t="shared" si="2"/>
        <v>火</v>
      </c>
      <c r="AI10" s="32" t="str">
        <f t="shared" si="2"/>
        <v>水</v>
      </c>
      <c r="AJ10" s="32" t="str">
        <f t="shared" si="2"/>
        <v>木</v>
      </c>
      <c r="AK10" s="33" t="str">
        <f t="shared" si="2"/>
        <v>金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</row>
    <row r="11" spans="1:254" s="2" customFormat="1" ht="23" customHeight="1">
      <c r="A11" s="34"/>
      <c r="B11" s="130" t="s">
        <v>12</v>
      </c>
      <c r="C11" s="131"/>
      <c r="D11" s="35"/>
      <c r="E11" s="35"/>
      <c r="F11" s="102" t="s">
        <v>122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5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</row>
    <row r="12" spans="1:254" s="2" customFormat="1" ht="23" customHeight="1">
      <c r="A12" s="99">
        <v>1</v>
      </c>
      <c r="B12" s="117" t="s">
        <v>119</v>
      </c>
      <c r="C12" s="118"/>
      <c r="D12" s="92" t="s">
        <v>99</v>
      </c>
      <c r="E12" s="92" t="s">
        <v>42</v>
      </c>
      <c r="F12" s="158" t="s">
        <v>13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7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</row>
    <row r="13" spans="1:254" s="2" customFormat="1" ht="23" customHeight="1">
      <c r="A13" s="99">
        <v>2</v>
      </c>
      <c r="B13" s="117" t="s">
        <v>101</v>
      </c>
      <c r="C13" s="118"/>
      <c r="D13" s="92" t="s">
        <v>99</v>
      </c>
      <c r="E13" s="92"/>
      <c r="F13" s="119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7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</row>
    <row r="14" spans="1:254" s="2" customFormat="1" ht="23" customHeight="1">
      <c r="A14" s="99">
        <v>3</v>
      </c>
      <c r="B14" s="117" t="s">
        <v>130</v>
      </c>
      <c r="C14" s="118"/>
      <c r="D14" s="92" t="s">
        <v>99</v>
      </c>
      <c r="E14" s="92" t="s">
        <v>43</v>
      </c>
      <c r="F14" s="119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7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pans="1:254" s="2" customFormat="1" ht="23" customHeight="1">
      <c r="A15" s="99">
        <v>4</v>
      </c>
      <c r="B15" s="117" t="s">
        <v>131</v>
      </c>
      <c r="C15" s="118"/>
      <c r="D15" s="92" t="s">
        <v>99</v>
      </c>
      <c r="E15" s="92" t="s">
        <v>43</v>
      </c>
      <c r="F15" s="119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7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pans="1:254" s="2" customFormat="1" ht="23" customHeight="1">
      <c r="A16" s="99">
        <v>5</v>
      </c>
      <c r="B16" s="117" t="s">
        <v>31</v>
      </c>
      <c r="C16" s="118"/>
      <c r="D16" s="92" t="s">
        <v>133</v>
      </c>
      <c r="E16" s="92" t="s">
        <v>44</v>
      </c>
      <c r="F16" s="119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7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pans="1:254" s="2" customFormat="1" ht="23" customHeight="1">
      <c r="A17" s="99">
        <v>6</v>
      </c>
      <c r="B17" s="117" t="s">
        <v>134</v>
      </c>
      <c r="C17" s="118"/>
      <c r="D17" s="92" t="s">
        <v>99</v>
      </c>
      <c r="E17" s="92" t="s">
        <v>45</v>
      </c>
      <c r="F17" s="119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7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</row>
    <row r="18" spans="1:254" s="2" customFormat="1" ht="23" customHeight="1">
      <c r="A18" s="99">
        <v>7</v>
      </c>
      <c r="B18" s="117" t="s">
        <v>32</v>
      </c>
      <c r="C18" s="118"/>
      <c r="D18" s="92" t="s">
        <v>99</v>
      </c>
      <c r="E18" s="92" t="s">
        <v>41</v>
      </c>
      <c r="F18" s="119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7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pans="1:254" s="2" customFormat="1" ht="23" customHeight="1">
      <c r="A19" s="99">
        <v>8</v>
      </c>
      <c r="B19" s="117" t="s">
        <v>33</v>
      </c>
      <c r="C19" s="118"/>
      <c r="D19" s="92" t="s">
        <v>99</v>
      </c>
      <c r="E19" s="92" t="s">
        <v>40</v>
      </c>
      <c r="F19" s="119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7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pans="1:254" s="2" customFormat="1" ht="23" customHeight="1">
      <c r="A20" s="99">
        <v>9</v>
      </c>
      <c r="B20" s="117" t="s">
        <v>34</v>
      </c>
      <c r="C20" s="118"/>
      <c r="D20" s="92" t="s">
        <v>99</v>
      </c>
      <c r="E20" s="92" t="s">
        <v>46</v>
      </c>
      <c r="F20" s="119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7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</row>
    <row r="21" spans="1:254" s="2" customFormat="1" ht="23" customHeight="1">
      <c r="A21" s="99">
        <v>10</v>
      </c>
      <c r="B21" s="117" t="s">
        <v>35</v>
      </c>
      <c r="C21" s="118"/>
      <c r="D21" s="92" t="s">
        <v>100</v>
      </c>
      <c r="E21" s="92"/>
      <c r="F21" s="119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7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</row>
    <row r="22" spans="1:254" s="2" customFormat="1" ht="23" customHeight="1">
      <c r="A22" s="99">
        <v>11</v>
      </c>
      <c r="B22" s="117" t="s">
        <v>37</v>
      </c>
      <c r="C22" s="118"/>
      <c r="D22" s="92" t="s">
        <v>38</v>
      </c>
      <c r="E22" s="92"/>
      <c r="F22" s="119" t="s">
        <v>135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7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</row>
    <row r="23" spans="1:254" s="2" customFormat="1" ht="23" customHeight="1">
      <c r="A23" s="99">
        <v>13</v>
      </c>
      <c r="B23" s="117" t="s">
        <v>132</v>
      </c>
      <c r="C23" s="118"/>
      <c r="D23" s="92" t="s">
        <v>99</v>
      </c>
      <c r="E23" s="92" t="s">
        <v>47</v>
      </c>
      <c r="F23" s="120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5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</row>
    <row r="24" spans="1:254" s="2" customFormat="1" ht="23" customHeight="1">
      <c r="A24" s="99">
        <v>12</v>
      </c>
      <c r="B24" s="117" t="s">
        <v>36</v>
      </c>
      <c r="C24" s="118"/>
      <c r="D24" s="92" t="s">
        <v>49</v>
      </c>
      <c r="E24" s="92" t="s">
        <v>47</v>
      </c>
      <c r="F24" s="93" t="s">
        <v>39</v>
      </c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5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</row>
    <row r="25" spans="1:254" s="2" customFormat="1" ht="10" customHeight="1">
      <c r="A25" s="37"/>
      <c r="B25" s="117"/>
      <c r="C25" s="118"/>
      <c r="D25" s="92"/>
      <c r="E25" s="92"/>
      <c r="F25" s="36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5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</row>
    <row r="26" spans="1:254" s="2" customFormat="1" ht="28.25" customHeight="1">
      <c r="A26" s="38"/>
      <c r="B26" s="154" t="s">
        <v>14</v>
      </c>
      <c r="C26" s="155"/>
      <c r="D26" s="35"/>
      <c r="E26" s="35"/>
      <c r="F26" s="39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5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</row>
    <row r="27" spans="1:254" s="2" customFormat="1" ht="23" customHeight="1">
      <c r="A27" s="37">
        <v>1</v>
      </c>
      <c r="B27" s="156" t="s">
        <v>53</v>
      </c>
      <c r="C27" s="157"/>
      <c r="D27" s="92" t="s">
        <v>99</v>
      </c>
      <c r="E27" s="92" t="s">
        <v>61</v>
      </c>
      <c r="F27" s="158" t="s">
        <v>15</v>
      </c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7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</row>
    <row r="28" spans="1:254" s="2" customFormat="1" ht="23" customHeight="1">
      <c r="A28" s="37">
        <v>2</v>
      </c>
      <c r="B28" s="156" t="s">
        <v>102</v>
      </c>
      <c r="C28" s="157"/>
      <c r="D28" s="35" t="s">
        <v>77</v>
      </c>
      <c r="E28" s="35"/>
      <c r="F28" s="119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7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</row>
    <row r="29" spans="1:254" s="2" customFormat="1" ht="23" customHeight="1">
      <c r="A29" s="37">
        <v>3</v>
      </c>
      <c r="B29" s="117" t="s">
        <v>56</v>
      </c>
      <c r="C29" s="118"/>
      <c r="D29" s="35" t="s">
        <v>77</v>
      </c>
      <c r="E29" s="35"/>
      <c r="F29" s="119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8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</row>
    <row r="30" spans="1:254" s="2" customFormat="1" ht="23" customHeight="1">
      <c r="A30" s="37">
        <v>4</v>
      </c>
      <c r="B30" s="117" t="s">
        <v>54</v>
      </c>
      <c r="C30" s="118"/>
      <c r="D30" s="96" t="s">
        <v>103</v>
      </c>
      <c r="E30" s="92" t="s">
        <v>62</v>
      </c>
      <c r="F30" s="119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5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</row>
    <row r="31" spans="1:254" s="2" customFormat="1" ht="23" customHeight="1">
      <c r="A31" s="37">
        <v>5</v>
      </c>
      <c r="B31" s="156" t="s">
        <v>55</v>
      </c>
      <c r="C31" s="157"/>
      <c r="D31" s="92" t="s">
        <v>80</v>
      </c>
      <c r="E31" s="35"/>
      <c r="F31" s="119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5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</row>
    <row r="32" spans="1:254" s="2" customFormat="1" ht="23" customHeight="1">
      <c r="A32" s="37">
        <v>6</v>
      </c>
      <c r="B32" s="117" t="s">
        <v>57</v>
      </c>
      <c r="C32" s="118"/>
      <c r="D32" s="92" t="s">
        <v>118</v>
      </c>
      <c r="E32" s="35"/>
      <c r="F32" s="119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9"/>
      <c r="AK32" s="110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</row>
    <row r="33" spans="1:254" s="2" customFormat="1" ht="23" customHeight="1">
      <c r="A33" s="37">
        <v>7</v>
      </c>
      <c r="B33" s="117" t="s">
        <v>58</v>
      </c>
      <c r="C33" s="118"/>
      <c r="D33" s="92" t="s">
        <v>118</v>
      </c>
      <c r="E33" s="35"/>
      <c r="F33" s="119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9"/>
      <c r="AK33" s="110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</row>
    <row r="34" spans="1:254" s="2" customFormat="1" ht="21.65" customHeight="1">
      <c r="A34" s="37">
        <v>8</v>
      </c>
      <c r="B34" s="156" t="s">
        <v>59</v>
      </c>
      <c r="C34" s="157"/>
      <c r="D34" s="92" t="s">
        <v>99</v>
      </c>
      <c r="E34" s="40"/>
      <c r="F34" s="119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11"/>
      <c r="AK34" s="112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</row>
    <row r="35" spans="1:254" s="2" customFormat="1" ht="21.65" customHeight="1">
      <c r="A35" s="37">
        <v>9</v>
      </c>
      <c r="B35" s="156" t="s">
        <v>60</v>
      </c>
      <c r="C35" s="157"/>
      <c r="D35" s="92" t="s">
        <v>49</v>
      </c>
      <c r="E35" s="40"/>
      <c r="F35" s="120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11"/>
      <c r="AK35" s="112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</row>
    <row r="36" spans="1:254" s="2" customFormat="1" ht="21.65" customHeight="1">
      <c r="A36" s="37"/>
      <c r="B36" s="154" t="s">
        <v>127</v>
      </c>
      <c r="C36" s="155"/>
      <c r="D36" s="92"/>
      <c r="E36" s="40"/>
      <c r="F36" s="93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11"/>
      <c r="AK36" s="112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</row>
    <row r="37" spans="1:254" s="2" customFormat="1" ht="21.65" customHeight="1">
      <c r="A37" s="37"/>
      <c r="B37" s="156" t="s">
        <v>128</v>
      </c>
      <c r="C37" s="157"/>
      <c r="D37" s="92"/>
      <c r="E37" s="40"/>
      <c r="F37" s="93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11"/>
      <c r="AK37" s="112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</row>
    <row r="38" spans="1:254" s="2" customFormat="1" ht="21.65" customHeight="1">
      <c r="A38" s="37"/>
      <c r="B38" s="170" t="s">
        <v>129</v>
      </c>
      <c r="C38" s="171"/>
      <c r="D38" s="92"/>
      <c r="E38" s="40"/>
      <c r="F38" s="93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11"/>
      <c r="AK38" s="112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</row>
    <row r="39" spans="1:254" s="2" customFormat="1" ht="21.65" customHeight="1">
      <c r="A39" s="37"/>
      <c r="B39" s="170"/>
      <c r="C39" s="171"/>
      <c r="D39" s="92"/>
      <c r="E39" s="40"/>
      <c r="F39" s="93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11"/>
      <c r="AK39" s="112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</row>
    <row r="40" spans="1:254" s="2" customFormat="1" ht="42" customHeight="1" thickBot="1">
      <c r="A40" s="41"/>
      <c r="B40" s="168" t="s">
        <v>63</v>
      </c>
      <c r="C40" s="169"/>
      <c r="D40" s="42" t="s">
        <v>16</v>
      </c>
      <c r="E40" s="95"/>
      <c r="F40" s="4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4"/>
      <c r="AK40" s="115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</row>
    <row r="41" spans="1:254" ht="23" customHeight="1">
      <c r="A41" s="53"/>
      <c r="B41" s="54" t="s">
        <v>17</v>
      </c>
      <c r="C41" s="54"/>
      <c r="D41" s="44"/>
      <c r="E41" s="57" t="s">
        <v>96</v>
      </c>
      <c r="F41" s="75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4"/>
    </row>
    <row r="42" spans="1:254" ht="23" customHeight="1">
      <c r="A42" s="45"/>
      <c r="B42" s="46"/>
      <c r="C42" s="88"/>
      <c r="D42" s="90"/>
      <c r="E42" s="58" t="s">
        <v>97</v>
      </c>
      <c r="F42" s="77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6"/>
    </row>
    <row r="43" spans="1:254" ht="23" customHeight="1" thickBot="1">
      <c r="A43" s="49"/>
      <c r="B43" s="50"/>
      <c r="C43" s="50"/>
      <c r="D43" s="50"/>
      <c r="E43" s="60" t="s">
        <v>98</v>
      </c>
      <c r="F43" s="82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60"/>
    </row>
    <row r="44" spans="1:254">
      <c r="A44" s="52"/>
      <c r="B44" s="66" t="s">
        <v>20</v>
      </c>
      <c r="C44" s="66"/>
    </row>
    <row r="45" spans="1:254">
      <c r="A45" s="52"/>
      <c r="B45" s="52"/>
      <c r="C45" s="52"/>
    </row>
  </sheetData>
  <mergeCells count="60">
    <mergeCell ref="B21:C21"/>
    <mergeCell ref="B22:C22"/>
    <mergeCell ref="B24:C24"/>
    <mergeCell ref="AA43:AK43"/>
    <mergeCell ref="Q43:Z43"/>
    <mergeCell ref="G43:P43"/>
    <mergeCell ref="Q41:Z41"/>
    <mergeCell ref="AA41:AK41"/>
    <mergeCell ref="AA42:AK42"/>
    <mergeCell ref="Q42:Z42"/>
    <mergeCell ref="G42:P42"/>
    <mergeCell ref="B40:C40"/>
    <mergeCell ref="B37:C37"/>
    <mergeCell ref="B39:C39"/>
    <mergeCell ref="B38:C38"/>
    <mergeCell ref="G41:P41"/>
    <mergeCell ref="B13:C13"/>
    <mergeCell ref="B15:C15"/>
    <mergeCell ref="B28:C28"/>
    <mergeCell ref="B29:C29"/>
    <mergeCell ref="F12:F21"/>
    <mergeCell ref="F27:F35"/>
    <mergeCell ref="B12:C12"/>
    <mergeCell ref="B14:C14"/>
    <mergeCell ref="B16:C16"/>
    <mergeCell ref="B17:C17"/>
    <mergeCell ref="B18:C18"/>
    <mergeCell ref="B19:C19"/>
    <mergeCell ref="B20:C20"/>
    <mergeCell ref="B33:C33"/>
    <mergeCell ref="B34:C34"/>
    <mergeCell ref="B35:C35"/>
    <mergeCell ref="B36:C36"/>
    <mergeCell ref="B25:C25"/>
    <mergeCell ref="B26:C26"/>
    <mergeCell ref="B27:C27"/>
    <mergeCell ref="B30:C30"/>
    <mergeCell ref="B31:C31"/>
    <mergeCell ref="B32:C32"/>
    <mergeCell ref="W5:Y7"/>
    <mergeCell ref="AH5:AK7"/>
    <mergeCell ref="B10:C10"/>
    <mergeCell ref="Z4:AC4"/>
    <mergeCell ref="AD4:AG4"/>
    <mergeCell ref="B23:C23"/>
    <mergeCell ref="F22:F23"/>
    <mergeCell ref="A1:B1"/>
    <mergeCell ref="F1:AK1"/>
    <mergeCell ref="A3:D3"/>
    <mergeCell ref="K3:L3"/>
    <mergeCell ref="M3:O3"/>
    <mergeCell ref="P3:R3"/>
    <mergeCell ref="T3:AK3"/>
    <mergeCell ref="B11:C11"/>
    <mergeCell ref="K4:L4"/>
    <mergeCell ref="M4:O4"/>
    <mergeCell ref="P4:R4"/>
    <mergeCell ref="T4:Y4"/>
    <mergeCell ref="AH4:AK4"/>
    <mergeCell ref="T5:V7"/>
  </mergeCells>
  <phoneticPr fontId="3"/>
  <conditionalFormatting sqref="G9:AK10">
    <cfRule type="expression" dxfId="5" priority="1">
      <formula>TEXT(G9,"aaa")="土"</formula>
    </cfRule>
    <cfRule type="expression" dxfId="4" priority="4">
      <formula>TEXT(G9,"aaa")="日"</formula>
    </cfRule>
  </conditionalFormatting>
  <conditionalFormatting sqref="G11:AK40">
    <cfRule type="expression" dxfId="3" priority="2">
      <formula>G$11="－"</formula>
    </cfRule>
  </conditionalFormatting>
  <pageMargins left="0.23622047244094491" right="3.937007874015748E-2" top="0.55118110236220474" bottom="0.35433070866141736" header="0.31496062992125984" footer="0.31496062992125984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EEA3-50A6-4057-BA19-4E74F5276C52}">
  <sheetPr>
    <pageSetUpPr fitToPage="1"/>
  </sheetPr>
  <dimension ref="A1:IT50"/>
  <sheetViews>
    <sheetView topLeftCell="A17" zoomScale="70" zoomScaleNormal="70" workbookViewId="0">
      <selection activeCell="D27" sqref="D27"/>
    </sheetView>
  </sheetViews>
  <sheetFormatPr defaultRowHeight="18"/>
  <cols>
    <col min="2" max="2" width="27.83203125" customWidth="1"/>
    <col min="3" max="3" width="6" customWidth="1"/>
    <col min="4" max="4" width="17" customWidth="1"/>
    <col min="5" max="5" width="24.4140625" hidden="1" customWidth="1"/>
    <col min="7" max="32" width="6.25" customWidth="1"/>
  </cols>
  <sheetData>
    <row r="1" spans="1:254" s="2" customFormat="1" ht="30" customHeight="1" thickBot="1">
      <c r="A1" s="121" t="s">
        <v>26</v>
      </c>
      <c r="B1" s="121"/>
      <c r="C1" s="85"/>
      <c r="F1" s="122" t="s">
        <v>30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</row>
    <row r="2" spans="1:254" s="2" customFormat="1" ht="15.65" customHeight="1" thickTop="1" thickBot="1">
      <c r="A2" s="4"/>
      <c r="B2" s="1"/>
      <c r="C2" s="1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X2" s="6"/>
      <c r="Y2" s="6"/>
      <c r="Z2" s="6"/>
      <c r="AA2" s="6"/>
      <c r="AB2" s="6"/>
      <c r="AC2" s="6"/>
      <c r="AD2" s="6"/>
      <c r="AE2" s="6"/>
      <c r="AF2" s="6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</row>
    <row r="3" spans="1:254" s="2" customFormat="1" ht="20" customHeight="1" thickBot="1">
      <c r="A3" s="123" t="s">
        <v>51</v>
      </c>
      <c r="B3" s="124"/>
      <c r="C3" s="124"/>
      <c r="D3" s="125"/>
      <c r="E3" s="94"/>
      <c r="G3" s="51"/>
      <c r="H3" s="67" t="s">
        <v>21</v>
      </c>
      <c r="K3" s="126" t="s">
        <v>0</v>
      </c>
      <c r="L3" s="126"/>
      <c r="M3" s="126" t="s">
        <v>1</v>
      </c>
      <c r="N3" s="126"/>
      <c r="O3" s="126"/>
      <c r="P3" s="126" t="s">
        <v>2</v>
      </c>
      <c r="Q3" s="126"/>
      <c r="R3" s="126"/>
      <c r="S3" s="3"/>
      <c r="T3" s="127" t="s">
        <v>3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9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</row>
    <row r="4" spans="1:254" s="2" customFormat="1" ht="20" customHeight="1">
      <c r="A4" s="7" t="s">
        <v>52</v>
      </c>
      <c r="B4" s="8"/>
      <c r="C4" s="8"/>
      <c r="D4" s="9"/>
      <c r="E4" s="6"/>
      <c r="G4" s="51"/>
      <c r="H4" s="67" t="s">
        <v>22</v>
      </c>
      <c r="K4" s="126" t="s">
        <v>4</v>
      </c>
      <c r="L4" s="126"/>
      <c r="M4" s="132">
        <v>46113</v>
      </c>
      <c r="N4" s="132"/>
      <c r="O4" s="132"/>
      <c r="P4" s="126" t="s">
        <v>50</v>
      </c>
      <c r="Q4" s="126"/>
      <c r="R4" s="126"/>
      <c r="S4" s="3"/>
      <c r="T4" s="133" t="s">
        <v>5</v>
      </c>
      <c r="U4" s="134"/>
      <c r="V4" s="134"/>
      <c r="W4" s="135"/>
      <c r="X4" s="133" t="s">
        <v>6</v>
      </c>
      <c r="Y4" s="134"/>
      <c r="Z4" s="135"/>
      <c r="AA4" s="133" t="s">
        <v>7</v>
      </c>
      <c r="AB4" s="134"/>
      <c r="AC4" s="135"/>
      <c r="AD4" s="133" t="s">
        <v>8</v>
      </c>
      <c r="AE4" s="134"/>
      <c r="AF4" s="135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</row>
    <row r="5" spans="1:254" s="2" customFormat="1" ht="12" customHeight="1" thickBot="1">
      <c r="A5" s="10"/>
      <c r="B5" s="1"/>
      <c r="C5" s="1"/>
      <c r="D5" s="6"/>
      <c r="E5" s="6"/>
      <c r="G5" s="51"/>
      <c r="H5" s="67" t="s">
        <v>23</v>
      </c>
      <c r="S5" s="3"/>
      <c r="T5" s="183" t="s">
        <v>64</v>
      </c>
      <c r="U5" s="184"/>
      <c r="V5" s="184"/>
      <c r="W5" s="185"/>
      <c r="X5" s="11"/>
      <c r="Y5" s="3"/>
      <c r="Z5" s="12"/>
      <c r="AA5" s="11"/>
      <c r="AB5" s="3"/>
      <c r="AC5" s="12"/>
      <c r="AD5" s="146"/>
      <c r="AE5" s="147"/>
      <c r="AF5" s="148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</row>
    <row r="6" spans="1:254" s="2" customFormat="1" ht="18.75" customHeight="1" thickTop="1">
      <c r="A6" s="100" t="s">
        <v>121</v>
      </c>
      <c r="B6" s="14"/>
      <c r="C6" s="14"/>
      <c r="D6" s="15"/>
      <c r="E6" s="15"/>
      <c r="F6" s="16"/>
      <c r="G6" s="51"/>
      <c r="H6" s="67" t="s">
        <v>24</v>
      </c>
      <c r="R6" s="3"/>
      <c r="S6" s="3"/>
      <c r="T6" s="183"/>
      <c r="U6" s="184"/>
      <c r="V6" s="184"/>
      <c r="W6" s="185"/>
      <c r="X6" s="11"/>
      <c r="Y6" s="3"/>
      <c r="Z6" s="12"/>
      <c r="AA6" s="11"/>
      <c r="AB6" s="3"/>
      <c r="AC6" s="12"/>
      <c r="AD6" s="146"/>
      <c r="AE6" s="147"/>
      <c r="AF6" s="148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</row>
    <row r="7" spans="1:254" s="2" customFormat="1" ht="18.75" customHeight="1" thickBot="1">
      <c r="A7" s="17" t="s">
        <v>9</v>
      </c>
      <c r="B7" s="18"/>
      <c r="C7" s="18"/>
      <c r="D7" s="19"/>
      <c r="E7" s="19"/>
      <c r="F7" s="20"/>
      <c r="G7" s="51"/>
      <c r="H7" s="67" t="s">
        <v>25</v>
      </c>
      <c r="R7" s="3"/>
      <c r="S7" s="3"/>
      <c r="T7" s="186"/>
      <c r="U7" s="187"/>
      <c r="V7" s="187"/>
      <c r="W7" s="188"/>
      <c r="X7" s="21"/>
      <c r="Y7" s="22"/>
      <c r="Z7" s="23"/>
      <c r="AA7" s="21"/>
      <c r="AB7" s="22"/>
      <c r="AC7" s="23"/>
      <c r="AD7" s="149"/>
      <c r="AE7" s="150"/>
      <c r="AF7" s="151"/>
      <c r="AG7" s="86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</row>
    <row r="8" spans="1:254" s="2" customFormat="1" ht="20" customHeight="1" thickTop="1" thickBot="1">
      <c r="A8" s="6"/>
      <c r="B8" s="6"/>
      <c r="C8" s="6"/>
      <c r="D8" s="6"/>
      <c r="E8" s="6"/>
      <c r="F8" s="6"/>
      <c r="G8" s="6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98"/>
      <c r="AE8" s="98"/>
      <c r="AF8" s="98"/>
      <c r="AG8" s="87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</row>
    <row r="9" spans="1:254" s="2" customFormat="1" ht="23" customHeight="1">
      <c r="A9" s="25"/>
      <c r="B9" s="26" t="s">
        <v>10</v>
      </c>
      <c r="C9" s="26"/>
      <c r="D9" s="27" t="s">
        <v>11</v>
      </c>
      <c r="E9" s="27" t="s">
        <v>48</v>
      </c>
      <c r="F9" s="28"/>
      <c r="G9" s="97" t="s">
        <v>65</v>
      </c>
      <c r="H9" s="97" t="s">
        <v>66</v>
      </c>
      <c r="I9" s="97" t="s">
        <v>67</v>
      </c>
      <c r="J9" s="97" t="s">
        <v>68</v>
      </c>
      <c r="K9" s="97" t="s">
        <v>69</v>
      </c>
      <c r="L9" s="97" t="s">
        <v>70</v>
      </c>
      <c r="M9" s="97" t="s">
        <v>71</v>
      </c>
      <c r="N9" s="97" t="s">
        <v>72</v>
      </c>
      <c r="O9" s="97" t="s">
        <v>73</v>
      </c>
      <c r="P9" s="97" t="s">
        <v>74</v>
      </c>
      <c r="Q9" s="97" t="s">
        <v>75</v>
      </c>
      <c r="R9" s="97" t="s">
        <v>76</v>
      </c>
      <c r="S9" s="176" t="s">
        <v>78</v>
      </c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8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</row>
    <row r="10" spans="1:254" s="2" customFormat="1" ht="23" hidden="1" customHeight="1">
      <c r="A10" s="29"/>
      <c r="B10" s="152"/>
      <c r="C10" s="153"/>
      <c r="D10" s="30"/>
      <c r="E10" s="30"/>
      <c r="F10" s="31"/>
      <c r="G10" s="32" t="str">
        <f>TEXT(G9,"aaa")</f>
        <v>4月</v>
      </c>
      <c r="H10" s="32" t="str">
        <f>TEXT(H9,"aaa")</f>
        <v>5月</v>
      </c>
      <c r="I10" s="32" t="str">
        <f t="shared" ref="I10:AF10" si="0">TEXT(I9,"aaa")</f>
        <v>6月</v>
      </c>
      <c r="J10" s="32" t="str">
        <f t="shared" si="0"/>
        <v>7月</v>
      </c>
      <c r="K10" s="32" t="str">
        <f t="shared" si="0"/>
        <v>8月</v>
      </c>
      <c r="L10" s="32" t="str">
        <f t="shared" si="0"/>
        <v>9月</v>
      </c>
      <c r="M10" s="32" t="str">
        <f t="shared" si="0"/>
        <v>10月</v>
      </c>
      <c r="N10" s="32" t="str">
        <f t="shared" si="0"/>
        <v>11月</v>
      </c>
      <c r="O10" s="32" t="str">
        <f t="shared" si="0"/>
        <v>12月</v>
      </c>
      <c r="P10" s="32" t="str">
        <f t="shared" si="0"/>
        <v>1月</v>
      </c>
      <c r="Q10" s="32" t="str">
        <f t="shared" si="0"/>
        <v>2月</v>
      </c>
      <c r="R10" s="32" t="str">
        <f t="shared" si="0"/>
        <v>3月</v>
      </c>
      <c r="S10" s="32" t="str">
        <f t="shared" si="0"/>
        <v>【点検結果に問題がある場合の報告欄】</v>
      </c>
      <c r="T10" s="32" t="str">
        <f t="shared" si="0"/>
        <v>土</v>
      </c>
      <c r="U10" s="32" t="str">
        <f t="shared" si="0"/>
        <v>土</v>
      </c>
      <c r="V10" s="32" t="str">
        <f t="shared" si="0"/>
        <v>土</v>
      </c>
      <c r="W10" s="32" t="str">
        <f t="shared" si="0"/>
        <v>土</v>
      </c>
      <c r="X10" s="32" t="str">
        <f t="shared" si="0"/>
        <v>土</v>
      </c>
      <c r="Y10" s="32" t="str">
        <f t="shared" si="0"/>
        <v>土</v>
      </c>
      <c r="Z10" s="32" t="str">
        <f t="shared" si="0"/>
        <v>土</v>
      </c>
      <c r="AA10" s="32" t="str">
        <f t="shared" si="0"/>
        <v>土</v>
      </c>
      <c r="AB10" s="32" t="str">
        <f t="shared" si="0"/>
        <v>土</v>
      </c>
      <c r="AC10" s="32" t="str">
        <f t="shared" si="0"/>
        <v>土</v>
      </c>
      <c r="AD10" s="32" t="str">
        <f t="shared" si="0"/>
        <v>土</v>
      </c>
      <c r="AE10" s="32" t="str">
        <f t="shared" si="0"/>
        <v>土</v>
      </c>
      <c r="AF10" s="33" t="str">
        <f t="shared" si="0"/>
        <v>土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</row>
    <row r="11" spans="1:254" s="2" customFormat="1" ht="21.65" customHeight="1">
      <c r="A11" s="37"/>
      <c r="B11" s="154" t="s">
        <v>105</v>
      </c>
      <c r="C11" s="155"/>
      <c r="D11" s="92"/>
      <c r="E11" s="40"/>
      <c r="F11" s="93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191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3"/>
      <c r="AG11" s="69"/>
      <c r="AH11" s="69"/>
      <c r="AI11" s="69"/>
      <c r="AJ11" s="70"/>
      <c r="AK11" s="71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</row>
    <row r="12" spans="1:254" s="2" customFormat="1" ht="21.65" customHeight="1">
      <c r="A12" s="37">
        <v>1</v>
      </c>
      <c r="B12" s="170" t="s">
        <v>81</v>
      </c>
      <c r="C12" s="171"/>
      <c r="D12" s="92" t="s">
        <v>108</v>
      </c>
      <c r="E12" s="40"/>
      <c r="F12" s="36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172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4"/>
      <c r="AG12" s="69"/>
      <c r="AH12" s="69"/>
      <c r="AI12" s="69"/>
      <c r="AJ12" s="70"/>
      <c r="AK12" s="71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</row>
    <row r="13" spans="1:254" s="2" customFormat="1" ht="21.65" customHeight="1">
      <c r="A13" s="37">
        <v>2</v>
      </c>
      <c r="B13" s="170" t="s">
        <v>106</v>
      </c>
      <c r="C13" s="171"/>
      <c r="D13" s="92" t="s">
        <v>107</v>
      </c>
      <c r="E13" s="40"/>
      <c r="F13" s="36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172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4"/>
      <c r="AG13" s="69"/>
      <c r="AH13" s="69"/>
      <c r="AI13" s="69"/>
      <c r="AJ13" s="70"/>
      <c r="AK13" s="71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</row>
    <row r="14" spans="1:254" s="2" customFormat="1" ht="21.65" customHeight="1">
      <c r="A14" s="37">
        <v>3</v>
      </c>
      <c r="B14" s="170" t="s">
        <v>109</v>
      </c>
      <c r="C14" s="171"/>
      <c r="D14" s="92" t="s">
        <v>107</v>
      </c>
      <c r="E14" s="40"/>
      <c r="F14" s="36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172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4"/>
      <c r="AG14" s="69"/>
      <c r="AH14" s="69"/>
      <c r="AI14" s="69"/>
      <c r="AJ14" s="70"/>
      <c r="AK14" s="71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pans="1:254" s="2" customFormat="1" ht="21.65" customHeight="1">
      <c r="A15" s="37">
        <v>4</v>
      </c>
      <c r="B15" s="170" t="s">
        <v>82</v>
      </c>
      <c r="C15" s="171"/>
      <c r="D15" s="92" t="s">
        <v>108</v>
      </c>
      <c r="E15" s="40"/>
      <c r="F15" s="36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4"/>
      <c r="AG15" s="69"/>
      <c r="AH15" s="69"/>
      <c r="AI15" s="69"/>
      <c r="AJ15" s="70"/>
      <c r="AK15" s="71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pans="1:254" s="2" customFormat="1" ht="21.65" customHeight="1">
      <c r="A16" s="37">
        <v>5</v>
      </c>
      <c r="B16" s="170" t="s">
        <v>83</v>
      </c>
      <c r="C16" s="171"/>
      <c r="D16" s="92" t="s">
        <v>108</v>
      </c>
      <c r="E16" s="40"/>
      <c r="F16" s="36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172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4"/>
      <c r="AG16" s="69"/>
      <c r="AH16" s="69"/>
      <c r="AI16" s="69"/>
      <c r="AJ16" s="70"/>
      <c r="AK16" s="71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pans="1:254" s="2" customFormat="1" ht="21.65" customHeight="1">
      <c r="A17" s="37">
        <v>6</v>
      </c>
      <c r="B17" s="170" t="s">
        <v>84</v>
      </c>
      <c r="C17" s="171"/>
      <c r="D17" s="92" t="s">
        <v>108</v>
      </c>
      <c r="E17" s="40"/>
      <c r="F17" s="36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172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4"/>
      <c r="AG17" s="69"/>
      <c r="AH17" s="69"/>
      <c r="AI17" s="69"/>
      <c r="AJ17" s="70"/>
      <c r="AK17" s="71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</row>
    <row r="18" spans="1:254" s="2" customFormat="1" ht="21.65" customHeight="1">
      <c r="A18" s="37">
        <v>7</v>
      </c>
      <c r="B18" s="170" t="s">
        <v>85</v>
      </c>
      <c r="C18" s="171"/>
      <c r="D18" s="92" t="s">
        <v>108</v>
      </c>
      <c r="E18" s="40"/>
      <c r="F18" s="36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172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4"/>
      <c r="AG18" s="69"/>
      <c r="AH18" s="69"/>
      <c r="AI18" s="69"/>
      <c r="AJ18" s="70"/>
      <c r="AK18" s="71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pans="1:254" s="2" customFormat="1" ht="21.65" customHeight="1">
      <c r="A19" s="37">
        <v>8</v>
      </c>
      <c r="B19" s="170" t="s">
        <v>86</v>
      </c>
      <c r="C19" s="171"/>
      <c r="D19" s="92" t="s">
        <v>108</v>
      </c>
      <c r="E19" s="40"/>
      <c r="F19" s="36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172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4"/>
      <c r="AG19" s="69"/>
      <c r="AH19" s="69"/>
      <c r="AI19" s="69"/>
      <c r="AJ19" s="70"/>
      <c r="AK19" s="71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pans="1:254" s="2" customFormat="1" ht="23" customHeight="1">
      <c r="A20" s="34"/>
      <c r="B20" s="189" t="s">
        <v>120</v>
      </c>
      <c r="C20" s="190"/>
      <c r="D20" s="35"/>
      <c r="E20" s="35"/>
      <c r="F20" s="36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172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4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</row>
    <row r="21" spans="1:254" s="2" customFormat="1" ht="23" customHeight="1">
      <c r="A21" s="37">
        <v>1</v>
      </c>
      <c r="B21" s="117" t="s">
        <v>87</v>
      </c>
      <c r="C21" s="118"/>
      <c r="D21" s="92"/>
      <c r="E21" s="92" t="s">
        <v>42</v>
      </c>
      <c r="F21" s="36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172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4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</row>
    <row r="22" spans="1:254" s="2" customFormat="1" ht="23" customHeight="1">
      <c r="A22" s="37">
        <v>2</v>
      </c>
      <c r="B22" s="117" t="s">
        <v>88</v>
      </c>
      <c r="C22" s="118"/>
      <c r="D22" s="92"/>
      <c r="E22" s="92" t="s">
        <v>43</v>
      </c>
      <c r="F22" s="36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172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4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</row>
    <row r="23" spans="1:254" s="2" customFormat="1" ht="23" customHeight="1">
      <c r="A23" s="101" t="s">
        <v>111</v>
      </c>
      <c r="B23" s="181" t="s">
        <v>115</v>
      </c>
      <c r="C23" s="182"/>
      <c r="D23" s="92" t="s">
        <v>110</v>
      </c>
      <c r="E23" s="92" t="s">
        <v>44</v>
      </c>
      <c r="F23" s="36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172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4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</row>
    <row r="24" spans="1:254" s="2" customFormat="1" ht="23" customHeight="1">
      <c r="A24" s="101" t="s">
        <v>112</v>
      </c>
      <c r="B24" s="117" t="s">
        <v>113</v>
      </c>
      <c r="C24" s="118"/>
      <c r="D24" s="92" t="s">
        <v>110</v>
      </c>
      <c r="E24" s="92" t="s">
        <v>44</v>
      </c>
      <c r="F24" s="36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172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4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</row>
    <row r="25" spans="1:254" s="2" customFormat="1" ht="23" customHeight="1">
      <c r="A25" s="37">
        <v>4</v>
      </c>
      <c r="B25" s="117" t="s">
        <v>89</v>
      </c>
      <c r="C25" s="118"/>
      <c r="D25" s="92"/>
      <c r="E25" s="92" t="s">
        <v>45</v>
      </c>
      <c r="F25" s="36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172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4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</row>
    <row r="26" spans="1:254" s="2" customFormat="1" ht="23" customHeight="1">
      <c r="A26" s="37">
        <v>5</v>
      </c>
      <c r="B26" s="117" t="s">
        <v>114</v>
      </c>
      <c r="C26" s="118"/>
      <c r="D26" s="92"/>
      <c r="E26" s="92" t="s">
        <v>41</v>
      </c>
      <c r="F26" s="36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172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4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</row>
    <row r="27" spans="1:254" s="2" customFormat="1" ht="23" customHeight="1">
      <c r="A27" s="37">
        <v>6</v>
      </c>
      <c r="B27" s="117" t="s">
        <v>116</v>
      </c>
      <c r="C27" s="118"/>
      <c r="D27" s="92"/>
      <c r="E27" s="92" t="s">
        <v>41</v>
      </c>
      <c r="F27" s="36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172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4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</row>
    <row r="28" spans="1:254" s="2" customFormat="1" ht="23" customHeight="1">
      <c r="A28" s="37">
        <v>7</v>
      </c>
      <c r="B28" s="117" t="s">
        <v>90</v>
      </c>
      <c r="C28" s="118"/>
      <c r="D28" s="92"/>
      <c r="E28" s="92" t="s">
        <v>40</v>
      </c>
      <c r="F28" s="36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172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4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</row>
    <row r="29" spans="1:254" s="2" customFormat="1" ht="23" customHeight="1">
      <c r="A29" s="37"/>
      <c r="B29" s="117"/>
      <c r="C29" s="118"/>
      <c r="D29" s="92"/>
      <c r="E29" s="92" t="s">
        <v>40</v>
      </c>
      <c r="F29" s="36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172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4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</row>
    <row r="30" spans="1:254" s="2" customFormat="1" ht="23" customHeight="1">
      <c r="A30" s="37"/>
      <c r="B30" s="154" t="s">
        <v>91</v>
      </c>
      <c r="C30" s="155"/>
      <c r="D30" s="92"/>
      <c r="E30" s="92"/>
      <c r="F30" s="36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172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4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</row>
    <row r="31" spans="1:254" s="2" customFormat="1" ht="23" customHeight="1">
      <c r="A31" s="37"/>
      <c r="B31" s="117" t="s">
        <v>92</v>
      </c>
      <c r="C31" s="118"/>
      <c r="D31" s="158" t="s">
        <v>117</v>
      </c>
      <c r="E31" s="92"/>
      <c r="F31" s="36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172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4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</row>
    <row r="32" spans="1:254" s="2" customFormat="1" ht="23" customHeight="1">
      <c r="A32" s="37"/>
      <c r="B32" s="117" t="s">
        <v>93</v>
      </c>
      <c r="C32" s="118"/>
      <c r="D32" s="119"/>
      <c r="E32" s="92" t="s">
        <v>47</v>
      </c>
      <c r="F32" s="36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172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4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</row>
    <row r="33" spans="1:249" s="2" customFormat="1" ht="23" customHeight="1">
      <c r="A33" s="37"/>
      <c r="B33" s="117" t="s">
        <v>94</v>
      </c>
      <c r="C33" s="118"/>
      <c r="D33" s="120"/>
      <c r="E33" s="92"/>
      <c r="F33" s="36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172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4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</row>
    <row r="34" spans="1:249" s="2" customFormat="1" ht="28.25" customHeight="1">
      <c r="A34" s="38"/>
      <c r="B34" s="154" t="s">
        <v>79</v>
      </c>
      <c r="C34" s="155"/>
      <c r="D34" s="35"/>
      <c r="E34" s="35"/>
      <c r="F34" s="39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172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4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</row>
    <row r="35" spans="1:249" s="2" customFormat="1" ht="23" customHeight="1">
      <c r="A35" s="37">
        <v>1</v>
      </c>
      <c r="B35" s="156" t="s">
        <v>104</v>
      </c>
      <c r="C35" s="157"/>
      <c r="D35" s="96"/>
      <c r="E35" s="92" t="s">
        <v>61</v>
      </c>
      <c r="F35" s="158" t="s">
        <v>95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172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4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</row>
    <row r="36" spans="1:249" s="2" customFormat="1" ht="23" customHeight="1">
      <c r="A36" s="37">
        <v>2</v>
      </c>
      <c r="B36" s="117"/>
      <c r="C36" s="118"/>
      <c r="D36" s="96"/>
      <c r="E36" s="92" t="s">
        <v>62</v>
      </c>
      <c r="F36" s="119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172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4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</row>
    <row r="37" spans="1:249" s="2" customFormat="1" ht="23" customHeight="1">
      <c r="A37" s="37">
        <v>3</v>
      </c>
      <c r="B37" s="156"/>
      <c r="C37" s="157"/>
      <c r="D37" s="92"/>
      <c r="E37" s="35"/>
      <c r="F37" s="119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172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4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</row>
    <row r="38" spans="1:249" s="2" customFormat="1" ht="42" customHeight="1" thickBot="1">
      <c r="A38" s="41"/>
      <c r="B38" s="168" t="s">
        <v>63</v>
      </c>
      <c r="C38" s="169"/>
      <c r="D38" s="42" t="s">
        <v>16</v>
      </c>
      <c r="E38" s="95"/>
      <c r="F38" s="43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3"/>
      <c r="AF38" s="74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</row>
    <row r="39" spans="1:249" s="2" customFormat="1" ht="23" hidden="1" customHeight="1" thickBot="1">
      <c r="A39" s="53"/>
      <c r="B39" s="54" t="s">
        <v>17</v>
      </c>
      <c r="C39" s="54"/>
      <c r="D39" s="44"/>
      <c r="E39" s="44"/>
      <c r="F39" s="57"/>
      <c r="G39" s="75"/>
      <c r="H39" s="180"/>
      <c r="I39" s="180"/>
      <c r="J39" s="180"/>
      <c r="K39" s="180"/>
      <c r="L39" s="76"/>
      <c r="M39" s="75"/>
      <c r="N39" s="180"/>
      <c r="O39" s="180"/>
      <c r="P39" s="180"/>
      <c r="Q39" s="180"/>
      <c r="R39" s="76"/>
      <c r="S39" s="75"/>
      <c r="T39" s="180"/>
      <c r="U39" s="180"/>
      <c r="V39" s="180"/>
      <c r="W39" s="75"/>
      <c r="X39" s="180"/>
      <c r="Y39" s="180"/>
      <c r="Z39" s="180"/>
      <c r="AA39" s="76"/>
      <c r="AB39" s="75"/>
      <c r="AC39" s="180"/>
      <c r="AD39" s="180"/>
      <c r="AE39" s="55"/>
      <c r="AF39" s="56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</row>
    <row r="40" spans="1:249" s="2" customFormat="1" ht="23" hidden="1" customHeight="1">
      <c r="A40" s="45"/>
      <c r="B40" s="46"/>
      <c r="C40" s="88" t="s">
        <v>27</v>
      </c>
      <c r="D40" s="90" t="s">
        <v>22</v>
      </c>
      <c r="E40" s="90"/>
      <c r="F40" s="58"/>
      <c r="G40" s="77"/>
      <c r="H40" s="179"/>
      <c r="I40" s="179"/>
      <c r="J40" s="179"/>
      <c r="K40" s="179"/>
      <c r="L40" s="78"/>
      <c r="M40" s="77"/>
      <c r="N40" s="179"/>
      <c r="O40" s="179"/>
      <c r="P40" s="179"/>
      <c r="Q40" s="179"/>
      <c r="R40" s="78"/>
      <c r="S40" s="77"/>
      <c r="T40" s="179"/>
      <c r="U40" s="179"/>
      <c r="V40" s="179"/>
      <c r="W40" s="77"/>
      <c r="X40" s="179"/>
      <c r="Y40" s="179"/>
      <c r="Z40" s="179"/>
      <c r="AA40" s="78"/>
      <c r="AB40" s="77"/>
      <c r="AC40" s="179"/>
      <c r="AD40" s="179"/>
      <c r="AE40" s="61"/>
      <c r="AF40" s="79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</row>
    <row r="41" spans="1:249" s="2" customFormat="1" ht="23" hidden="1" customHeight="1">
      <c r="A41" s="47"/>
      <c r="B41" s="46"/>
      <c r="C41" s="89" t="s">
        <v>28</v>
      </c>
      <c r="D41" s="91" t="s">
        <v>24</v>
      </c>
      <c r="E41" s="91"/>
      <c r="F41" s="59"/>
      <c r="G41" s="77"/>
      <c r="H41" s="179"/>
      <c r="I41" s="179"/>
      <c r="J41" s="179"/>
      <c r="K41" s="179"/>
      <c r="L41" s="80"/>
      <c r="M41" s="77"/>
      <c r="N41" s="179"/>
      <c r="O41" s="179"/>
      <c r="P41" s="179"/>
      <c r="Q41" s="179"/>
      <c r="R41" s="80"/>
      <c r="S41" s="77"/>
      <c r="T41" s="179"/>
      <c r="U41" s="179"/>
      <c r="V41" s="179"/>
      <c r="W41" s="77"/>
      <c r="X41" s="179"/>
      <c r="Y41" s="179"/>
      <c r="Z41" s="179"/>
      <c r="AA41" s="80"/>
      <c r="AB41" s="77"/>
      <c r="AC41" s="179"/>
      <c r="AD41" s="179"/>
      <c r="AE41" s="62"/>
      <c r="AF41" s="81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</row>
    <row r="42" spans="1:249" s="2" customFormat="1" ht="23" hidden="1" customHeight="1">
      <c r="A42" s="48"/>
      <c r="B42" s="46"/>
      <c r="C42" s="89" t="s">
        <v>29</v>
      </c>
      <c r="D42" s="91" t="s">
        <v>25</v>
      </c>
      <c r="E42" s="91"/>
      <c r="F42" s="59"/>
      <c r="G42" s="77"/>
      <c r="H42" s="179"/>
      <c r="I42" s="179"/>
      <c r="J42" s="179"/>
      <c r="K42" s="179"/>
      <c r="L42" s="80"/>
      <c r="M42" s="77"/>
      <c r="N42" s="179"/>
      <c r="O42" s="179"/>
      <c r="P42" s="179"/>
      <c r="Q42" s="179"/>
      <c r="R42" s="80"/>
      <c r="S42" s="77"/>
      <c r="T42" s="179"/>
      <c r="U42" s="179"/>
      <c r="V42" s="179"/>
      <c r="W42" s="77"/>
      <c r="X42" s="179"/>
      <c r="Y42" s="179"/>
      <c r="Z42" s="179"/>
      <c r="AA42" s="80"/>
      <c r="AB42" s="77"/>
      <c r="AC42" s="179"/>
      <c r="AD42" s="179"/>
      <c r="AE42" s="62"/>
      <c r="AF42" s="81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</row>
    <row r="43" spans="1:249" s="2" customFormat="1" ht="18" hidden="1" customHeight="1">
      <c r="A43" s="49"/>
      <c r="B43" s="50"/>
      <c r="C43" s="50"/>
      <c r="D43" s="50"/>
      <c r="E43" s="50"/>
      <c r="F43" s="60"/>
      <c r="G43" s="82"/>
      <c r="H43" s="175"/>
      <c r="I43" s="175"/>
      <c r="J43" s="175"/>
      <c r="K43" s="175"/>
      <c r="L43" s="83"/>
      <c r="M43" s="82"/>
      <c r="N43" s="175"/>
      <c r="O43" s="175"/>
      <c r="P43" s="175"/>
      <c r="Q43" s="175"/>
      <c r="R43" s="83"/>
      <c r="S43" s="82"/>
      <c r="T43" s="175"/>
      <c r="U43" s="175"/>
      <c r="V43" s="175"/>
      <c r="W43" s="82"/>
      <c r="X43" s="175"/>
      <c r="Y43" s="175"/>
      <c r="Z43" s="175"/>
      <c r="AA43" s="83"/>
      <c r="AB43" s="82"/>
      <c r="AC43" s="175"/>
      <c r="AD43" s="175"/>
      <c r="AE43" s="63"/>
      <c r="AF43" s="84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</row>
    <row r="45" spans="1:249">
      <c r="F45" s="64" t="s">
        <v>22</v>
      </c>
    </row>
    <row r="46" spans="1:249">
      <c r="A46" s="52"/>
      <c r="B46" s="52"/>
      <c r="C46" s="52"/>
      <c r="F46" s="64" t="s">
        <v>24</v>
      </c>
    </row>
    <row r="47" spans="1:249">
      <c r="A47" s="52"/>
      <c r="B47" s="66" t="s">
        <v>18</v>
      </c>
      <c r="C47" s="66"/>
      <c r="F47" s="64" t="s">
        <v>25</v>
      </c>
    </row>
    <row r="48" spans="1:249">
      <c r="A48" s="52"/>
      <c r="B48" s="66" t="s">
        <v>19</v>
      </c>
      <c r="C48" s="66"/>
      <c r="F48" s="65"/>
    </row>
    <row r="49" spans="1:3">
      <c r="A49" s="52"/>
      <c r="B49" s="66" t="s">
        <v>20</v>
      </c>
      <c r="C49" s="66"/>
    </row>
    <row r="50" spans="1:3">
      <c r="A50" s="52"/>
      <c r="B50" s="52"/>
      <c r="C50" s="52"/>
    </row>
  </sheetData>
  <mergeCells count="100">
    <mergeCell ref="A1:B1"/>
    <mergeCell ref="F1:AF1"/>
    <mergeCell ref="A3:D3"/>
    <mergeCell ref="K3:L3"/>
    <mergeCell ref="M3:O3"/>
    <mergeCell ref="P3:R3"/>
    <mergeCell ref="T3:AF3"/>
    <mergeCell ref="T5:W7"/>
    <mergeCell ref="AD4:AF4"/>
    <mergeCell ref="AD5:AF7"/>
    <mergeCell ref="B10:C10"/>
    <mergeCell ref="B20:C20"/>
    <mergeCell ref="B19:C19"/>
    <mergeCell ref="S11:AF11"/>
    <mergeCell ref="S12:AF12"/>
    <mergeCell ref="S13:AF13"/>
    <mergeCell ref="K4:L4"/>
    <mergeCell ref="M4:O4"/>
    <mergeCell ref="P4:R4"/>
    <mergeCell ref="T4:W4"/>
    <mergeCell ref="X4:Z4"/>
    <mergeCell ref="AA4:AC4"/>
    <mergeCell ref="B11:C11"/>
    <mergeCell ref="B23:C23"/>
    <mergeCell ref="B25:C25"/>
    <mergeCell ref="S14:AF14"/>
    <mergeCell ref="S15:AF15"/>
    <mergeCell ref="S16:AF16"/>
    <mergeCell ref="S17:AF17"/>
    <mergeCell ref="S18:AF18"/>
    <mergeCell ref="S19:AF19"/>
    <mergeCell ref="S25:AF25"/>
    <mergeCell ref="S24:AF24"/>
    <mergeCell ref="B12:C12"/>
    <mergeCell ref="B13:C13"/>
    <mergeCell ref="B14:C14"/>
    <mergeCell ref="B15:C15"/>
    <mergeCell ref="B34:C34"/>
    <mergeCell ref="B16:C16"/>
    <mergeCell ref="B17:C17"/>
    <mergeCell ref="B18:C18"/>
    <mergeCell ref="B26:C26"/>
    <mergeCell ref="B28:C28"/>
    <mergeCell ref="B29:C29"/>
    <mergeCell ref="B30:C30"/>
    <mergeCell ref="B27:C27"/>
    <mergeCell ref="B24:C24"/>
    <mergeCell ref="B21:C21"/>
    <mergeCell ref="B22:C22"/>
    <mergeCell ref="B35:C35"/>
    <mergeCell ref="F35:F37"/>
    <mergeCell ref="B36:C36"/>
    <mergeCell ref="B37:C37"/>
    <mergeCell ref="AC39:AD39"/>
    <mergeCell ref="B38:C38"/>
    <mergeCell ref="H39:K39"/>
    <mergeCell ref="N39:Q39"/>
    <mergeCell ref="S36:AF36"/>
    <mergeCell ref="S37:AF37"/>
    <mergeCell ref="H40:K40"/>
    <mergeCell ref="N40:Q40"/>
    <mergeCell ref="T40:V40"/>
    <mergeCell ref="X40:Z40"/>
    <mergeCell ref="AC40:AD40"/>
    <mergeCell ref="H43:K43"/>
    <mergeCell ref="N43:Q43"/>
    <mergeCell ref="T43:V43"/>
    <mergeCell ref="X43:Z43"/>
    <mergeCell ref="H41:K41"/>
    <mergeCell ref="N41:Q41"/>
    <mergeCell ref="H42:K42"/>
    <mergeCell ref="N42:Q42"/>
    <mergeCell ref="AC43:AD43"/>
    <mergeCell ref="S9:AF9"/>
    <mergeCell ref="S20:AF20"/>
    <mergeCell ref="S21:AF21"/>
    <mergeCell ref="S22:AF22"/>
    <mergeCell ref="S23:AF23"/>
    <mergeCell ref="T41:V41"/>
    <mergeCell ref="X41:Z41"/>
    <mergeCell ref="AC41:AD41"/>
    <mergeCell ref="T42:V42"/>
    <mergeCell ref="X42:Z42"/>
    <mergeCell ref="AC42:AD42"/>
    <mergeCell ref="T39:V39"/>
    <mergeCell ref="X39:Z39"/>
    <mergeCell ref="S34:AF34"/>
    <mergeCell ref="S35:AF35"/>
    <mergeCell ref="S26:AF26"/>
    <mergeCell ref="S28:AF28"/>
    <mergeCell ref="S29:AF29"/>
    <mergeCell ref="S30:AF30"/>
    <mergeCell ref="S31:AF31"/>
    <mergeCell ref="S27:AF27"/>
    <mergeCell ref="S32:AF32"/>
    <mergeCell ref="S33:AF33"/>
    <mergeCell ref="B32:C32"/>
    <mergeCell ref="B33:C33"/>
    <mergeCell ref="D31:D33"/>
    <mergeCell ref="B31:C31"/>
  </mergeCells>
  <phoneticPr fontId="3"/>
  <conditionalFormatting sqref="G11:R19 AG11:AK19">
    <cfRule type="expression" dxfId="9" priority="1">
      <formula>TEXT(G11,"aaa")="日"</formula>
    </cfRule>
  </conditionalFormatting>
  <pageMargins left="3.937007874015748E-2" right="3.937007874015748E-2" top="0.35433070866141736" bottom="0.35433070866141736" header="0.11811023622047245" footer="0.11811023622047245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日常～週</vt:lpstr>
      <vt:lpstr>月1～年1 </vt:lpstr>
      <vt:lpstr>'月1～年1 '!Print_Area</vt:lpstr>
      <vt:lpstr>'日常～週'!Print_Area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kotani 1</dc:creator>
  <cp:lastModifiedBy>minoru kosukegawa</cp:lastModifiedBy>
  <cp:lastPrinted>2026-05-14T07:07:07Z</cp:lastPrinted>
  <dcterms:created xsi:type="dcterms:W3CDTF">2025-07-11T09:40:44Z</dcterms:created>
  <dcterms:modified xsi:type="dcterms:W3CDTF">2026-06-23T03:03:02Z</dcterms:modified>
</cp:coreProperties>
</file>