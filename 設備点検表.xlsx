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osuk\Desktop\"/>
    </mc:Choice>
  </mc:AlternateContent>
  <xr:revisionPtr revIDLastSave="0" documentId="13_ncr:1_{7C203E09-9A76-4796-9632-130647BA660F}" xr6:coauthVersionLast="47" xr6:coauthVersionMax="47" xr10:uidLastSave="{00000000-0000-0000-0000-000000000000}"/>
  <bookViews>
    <workbookView xWindow="-610" yWindow="930" windowWidth="15500" windowHeight="11280" xr2:uid="{6C56CF13-AF7F-4C1F-982C-EF388A11F51A}"/>
  </bookViews>
  <sheets>
    <sheet name="日常～週" sheetId="4" r:id="rId1"/>
    <sheet name="月1～年1 " sheetId="3" r:id="rId2"/>
  </sheets>
  <definedNames>
    <definedName name="_xlnm.Print_Area" localSheetId="1">'月1～年1 '!$A$1:$AF$38</definedName>
    <definedName name="_xlnm.Print_Area" localSheetId="0">'日常～週'!$A$1:$AK$43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9" i="4" l="1"/>
  <c r="H9" i="4"/>
  <c r="G9" i="4"/>
  <c r="G10" i="4" s="1"/>
  <c r="I10" i="3"/>
  <c r="H10" i="3"/>
  <c r="G10" i="3"/>
  <c r="H10" i="4" l="1"/>
  <c r="J9" i="4"/>
  <c r="I10" i="4"/>
  <c r="K9" i="4" l="1"/>
  <c r="J10" i="4"/>
  <c r="J10" i="3"/>
  <c r="K10" i="4" l="1"/>
  <c r="L9" i="4"/>
  <c r="K10" i="3"/>
  <c r="L10" i="4" l="1"/>
  <c r="M9" i="4"/>
  <c r="L10" i="3"/>
  <c r="M10" i="4" l="1"/>
  <c r="N9" i="4"/>
  <c r="M10" i="3"/>
  <c r="N10" i="4" l="1"/>
  <c r="O9" i="4"/>
  <c r="N10" i="3"/>
  <c r="O10" i="4" l="1"/>
  <c r="P9" i="4"/>
  <c r="O10" i="3"/>
  <c r="P10" i="4" l="1"/>
  <c r="Q9" i="4"/>
  <c r="P10" i="3"/>
  <c r="R9" i="4" l="1"/>
  <c r="Q10" i="4"/>
  <c r="Q10" i="3"/>
  <c r="S9" i="4" l="1"/>
  <c r="R10" i="4"/>
  <c r="R10" i="3"/>
  <c r="T9" i="4" l="1"/>
  <c r="S10" i="4"/>
  <c r="S10" i="3"/>
  <c r="U9" i="4" l="1"/>
  <c r="T10" i="4"/>
  <c r="T10" i="3"/>
  <c r="V9" i="4" l="1"/>
  <c r="U10" i="4"/>
  <c r="U8" i="4"/>
  <c r="V10" i="4" l="1"/>
  <c r="W9" i="4"/>
  <c r="V8" i="4"/>
  <c r="U10" i="3"/>
  <c r="W10" i="4" l="1"/>
  <c r="X9" i="4"/>
  <c r="W8" i="4"/>
  <c r="V10" i="3"/>
  <c r="X10" i="4" l="1"/>
  <c r="X8" i="4"/>
  <c r="Y9" i="4"/>
  <c r="Y10" i="4" l="1"/>
  <c r="Y8" i="4"/>
  <c r="Z9" i="4"/>
  <c r="W10" i="3"/>
  <c r="Z8" i="4" l="1"/>
  <c r="AA9" i="4"/>
  <c r="Z10" i="4"/>
  <c r="X10" i="3"/>
  <c r="AA8" i="4" l="1"/>
  <c r="AB9" i="4"/>
  <c r="AA10" i="4"/>
  <c r="AC9" i="4" l="1"/>
  <c r="AB8" i="4"/>
  <c r="AB10" i="4"/>
  <c r="Y10" i="3"/>
  <c r="AD9" i="4" l="1"/>
  <c r="AC10" i="4"/>
  <c r="AC8" i="4"/>
  <c r="Z10" i="3"/>
  <c r="AE9" i="4" l="1"/>
  <c r="AD10" i="4"/>
  <c r="AD8" i="4"/>
  <c r="AA10" i="3"/>
  <c r="AF9" i="4" l="1"/>
  <c r="AE8" i="4"/>
  <c r="AE10" i="4"/>
  <c r="AB10" i="3"/>
  <c r="AG9" i="4" l="1"/>
  <c r="AF8" i="4"/>
  <c r="AF10" i="4"/>
  <c r="AG8" i="4" l="1"/>
  <c r="AG10" i="4"/>
  <c r="AH9" i="4"/>
  <c r="AC10" i="3"/>
  <c r="AH10" i="4" l="1"/>
  <c r="AI9" i="4"/>
  <c r="AH8" i="4"/>
  <c r="AD10" i="3"/>
  <c r="AI10" i="4" l="1"/>
  <c r="AI8" i="4"/>
  <c r="AJ9" i="4"/>
  <c r="AJ10" i="4" l="1"/>
  <c r="AK9" i="4"/>
  <c r="AJ8" i="4"/>
  <c r="AE10" i="3"/>
  <c r="AK10" i="4" l="1"/>
  <c r="AK8" i="4"/>
  <c r="AF10" i="3"/>
</calcChain>
</file>

<file path=xl/sharedStrings.xml><?xml version="1.0" encoding="utf-8"?>
<sst xmlns="http://schemas.openxmlformats.org/spreadsheetml/2006/main" count="205" uniqueCount="137">
  <si>
    <t>改版</t>
    <rPh sb="0" eb="2">
      <t>カイハン</t>
    </rPh>
    <phoneticPr fontId="4"/>
  </si>
  <si>
    <t>日付</t>
    <rPh sb="0" eb="2">
      <t>ヒヅケ</t>
    </rPh>
    <phoneticPr fontId="4"/>
  </si>
  <si>
    <t>作成</t>
    <rPh sb="0" eb="2">
      <t>サクセイ</t>
    </rPh>
    <phoneticPr fontId="4"/>
  </si>
  <si>
    <t>月　度　確　認　欄</t>
    <rPh sb="0" eb="1">
      <t>ツキ</t>
    </rPh>
    <rPh sb="2" eb="3">
      <t>ド</t>
    </rPh>
    <rPh sb="4" eb="5">
      <t>アキラ</t>
    </rPh>
    <rPh sb="6" eb="7">
      <t>シノブ</t>
    </rPh>
    <rPh sb="8" eb="9">
      <t>ラン</t>
    </rPh>
    <phoneticPr fontId="4"/>
  </si>
  <si>
    <t>00</t>
    <phoneticPr fontId="11"/>
  </si>
  <si>
    <t>年　、　月</t>
    <rPh sb="0" eb="1">
      <t>ネン</t>
    </rPh>
    <rPh sb="4" eb="5">
      <t>ツキ</t>
    </rPh>
    <phoneticPr fontId="4"/>
  </si>
  <si>
    <t>担当者</t>
    <rPh sb="0" eb="3">
      <t>タントウシャ</t>
    </rPh>
    <phoneticPr fontId="4"/>
  </si>
  <si>
    <t>係長</t>
    <rPh sb="0" eb="2">
      <t>カカリチョウ</t>
    </rPh>
    <phoneticPr fontId="4"/>
  </si>
  <si>
    <t>課長</t>
    <rPh sb="0" eb="2">
      <t>カチョウ</t>
    </rPh>
    <phoneticPr fontId="4"/>
  </si>
  <si>
    <t>×、△の場合、下の報告欄に日付、項目、問題内容、処置について記入</t>
    <rPh sb="4" eb="6">
      <t>バアイ</t>
    </rPh>
    <rPh sb="7" eb="8">
      <t>シタ</t>
    </rPh>
    <rPh sb="9" eb="11">
      <t>ホウコク</t>
    </rPh>
    <rPh sb="11" eb="12">
      <t>ラン</t>
    </rPh>
    <rPh sb="13" eb="14">
      <t>ヒ</t>
    </rPh>
    <rPh sb="14" eb="15">
      <t>ツ</t>
    </rPh>
    <rPh sb="16" eb="18">
      <t>コウモク</t>
    </rPh>
    <rPh sb="19" eb="21">
      <t>モンダイ</t>
    </rPh>
    <rPh sb="21" eb="23">
      <t>ナイヨウ</t>
    </rPh>
    <rPh sb="24" eb="26">
      <t>ショチ</t>
    </rPh>
    <rPh sb="30" eb="32">
      <t>キニュウ</t>
    </rPh>
    <phoneticPr fontId="4"/>
  </si>
  <si>
    <t>点検項目</t>
    <rPh sb="0" eb="2">
      <t>テンケン</t>
    </rPh>
    <rPh sb="2" eb="4">
      <t>コウモク</t>
    </rPh>
    <phoneticPr fontId="4"/>
  </si>
  <si>
    <t>点検方法</t>
    <rPh sb="0" eb="2">
      <t>テンケン</t>
    </rPh>
    <rPh sb="2" eb="4">
      <t>ホウホウ</t>
    </rPh>
    <phoneticPr fontId="4"/>
  </si>
  <si>
    <t>【日常点検】</t>
    <rPh sb="1" eb="3">
      <t>ニチジョウ</t>
    </rPh>
    <rPh sb="3" eb="5">
      <t>テンケン</t>
    </rPh>
    <phoneticPr fontId="4"/>
  </si>
  <si>
    <t>始業時</t>
    <rPh sb="0" eb="2">
      <t>シギョウ</t>
    </rPh>
    <rPh sb="2" eb="3">
      <t>ジ</t>
    </rPh>
    <phoneticPr fontId="4"/>
  </si>
  <si>
    <t>【週点検】　週初め実施</t>
    <phoneticPr fontId="4"/>
  </si>
  <si>
    <t>1回/週</t>
    <rPh sb="1" eb="2">
      <t>カイ</t>
    </rPh>
    <rPh sb="3" eb="4">
      <t>シュウ</t>
    </rPh>
    <phoneticPr fontId="4"/>
  </si>
  <si>
    <t>点検者サイン</t>
  </si>
  <si>
    <t>【点検結果に問題がある場合の報告欄】</t>
    <phoneticPr fontId="11"/>
  </si>
  <si>
    <t>交換：×</t>
    <rPh sb="0" eb="2">
      <t>コウカン</t>
    </rPh>
    <phoneticPr fontId="11"/>
  </si>
  <si>
    <t>修理：△</t>
    <rPh sb="0" eb="2">
      <t>シュウリ</t>
    </rPh>
    <phoneticPr fontId="11"/>
  </si>
  <si>
    <t>補充：L</t>
    <rPh sb="0" eb="2">
      <t>ホジュウ</t>
    </rPh>
    <phoneticPr fontId="11"/>
  </si>
  <si>
    <t>✔</t>
    <phoneticPr fontId="3"/>
  </si>
  <si>
    <t>×</t>
    <phoneticPr fontId="3"/>
  </si>
  <si>
    <t>C</t>
    <phoneticPr fontId="3"/>
  </si>
  <si>
    <t>△</t>
    <phoneticPr fontId="3"/>
  </si>
  <si>
    <t>L</t>
    <phoneticPr fontId="3"/>
  </si>
  <si>
    <t>　設備点検表　NO.</t>
    <rPh sb="1" eb="3">
      <t>セツビ</t>
    </rPh>
    <rPh sb="3" eb="5">
      <t>テンケン</t>
    </rPh>
    <rPh sb="5" eb="6">
      <t>ヒョウ</t>
    </rPh>
    <phoneticPr fontId="4"/>
  </si>
  <si>
    <t>交換‥</t>
    <rPh sb="0" eb="2">
      <t>コウカン</t>
    </rPh>
    <phoneticPr fontId="3"/>
  </si>
  <si>
    <t>修理‥</t>
    <rPh sb="0" eb="2">
      <t>シュウリ</t>
    </rPh>
    <phoneticPr fontId="3"/>
  </si>
  <si>
    <t>補充‥</t>
    <rPh sb="0" eb="2">
      <t>ホジュウ</t>
    </rPh>
    <phoneticPr fontId="3"/>
  </si>
  <si>
    <t>設備名称：ワイヤー放電加工機　　機種名・型式：ROBOCUT α-C600iC</t>
    <rPh sb="0" eb="2">
      <t>セツビ</t>
    </rPh>
    <rPh sb="2" eb="4">
      <t>メイショウ</t>
    </rPh>
    <rPh sb="9" eb="11">
      <t>ホウデン</t>
    </rPh>
    <rPh sb="11" eb="14">
      <t>カコウキ</t>
    </rPh>
    <rPh sb="16" eb="18">
      <t>キシュ</t>
    </rPh>
    <rPh sb="18" eb="19">
      <t>メイ</t>
    </rPh>
    <rPh sb="20" eb="22">
      <t>カタシキ</t>
    </rPh>
    <phoneticPr fontId="4"/>
  </si>
  <si>
    <t>上下電極ピンの確認</t>
    <rPh sb="0" eb="2">
      <t>ジョウゲ</t>
    </rPh>
    <rPh sb="2" eb="4">
      <t>デンキョク</t>
    </rPh>
    <rPh sb="7" eb="9">
      <t>カクニン</t>
    </rPh>
    <phoneticPr fontId="3"/>
  </si>
  <si>
    <t>加工液比抵抗の確認</t>
    <rPh sb="0" eb="3">
      <t>カコウエキ</t>
    </rPh>
    <rPh sb="3" eb="6">
      <t>ヒテイコウ</t>
    </rPh>
    <rPh sb="7" eb="9">
      <t>カクニン</t>
    </rPh>
    <phoneticPr fontId="4"/>
  </si>
  <si>
    <t>テーブル面と加工槽の確認</t>
    <rPh sb="4" eb="5">
      <t>メン</t>
    </rPh>
    <rPh sb="6" eb="8">
      <t>カコウ</t>
    </rPh>
    <rPh sb="8" eb="9">
      <t>ソウ</t>
    </rPh>
    <rPh sb="10" eb="12">
      <t>カクニン</t>
    </rPh>
    <phoneticPr fontId="4"/>
  </si>
  <si>
    <t>フィルタ圧の確認</t>
    <rPh sb="4" eb="5">
      <t>アツ</t>
    </rPh>
    <rPh sb="6" eb="8">
      <t>カクニン</t>
    </rPh>
    <phoneticPr fontId="4"/>
  </si>
  <si>
    <t>テーブルのランニング</t>
    <phoneticPr fontId="11"/>
  </si>
  <si>
    <t>機械各部の清掃</t>
    <rPh sb="0" eb="2">
      <t>キカイ</t>
    </rPh>
    <rPh sb="2" eb="4">
      <t>カクブ</t>
    </rPh>
    <rPh sb="5" eb="7">
      <t>セイソウ</t>
    </rPh>
    <phoneticPr fontId="11"/>
  </si>
  <si>
    <t>異音、振動等の異常の有無</t>
    <rPh sb="0" eb="2">
      <t>イオン</t>
    </rPh>
    <rPh sb="3" eb="5">
      <t>シンドウ</t>
    </rPh>
    <rPh sb="5" eb="6">
      <t>トウ</t>
    </rPh>
    <rPh sb="7" eb="9">
      <t>イジョウ</t>
    </rPh>
    <rPh sb="10" eb="12">
      <t>ウム</t>
    </rPh>
    <phoneticPr fontId="3"/>
  </si>
  <si>
    <t>目視、触手、聴音</t>
    <rPh sb="0" eb="2">
      <t>モクシ</t>
    </rPh>
    <rPh sb="3" eb="5">
      <t>ショクシュ</t>
    </rPh>
    <rPh sb="6" eb="8">
      <t>チョウオン</t>
    </rPh>
    <phoneticPr fontId="4"/>
  </si>
  <si>
    <t>終業時</t>
    <rPh sb="0" eb="2">
      <t>シュウギョウ</t>
    </rPh>
    <rPh sb="2" eb="3">
      <t>ジ</t>
    </rPh>
    <phoneticPr fontId="4"/>
  </si>
  <si>
    <t>キズ・中子等異物はないか</t>
    <rPh sb="3" eb="5">
      <t>ナカゴ</t>
    </rPh>
    <rPh sb="5" eb="6">
      <t>トウ</t>
    </rPh>
    <rPh sb="6" eb="8">
      <t>イブツ</t>
    </rPh>
    <phoneticPr fontId="3"/>
  </si>
  <si>
    <t>Ⅳ各画面での設定4.2.</t>
    <rPh sb="1" eb="4">
      <t>カクガメン</t>
    </rPh>
    <rPh sb="6" eb="8">
      <t>セッテイ</t>
    </rPh>
    <phoneticPr fontId="3"/>
  </si>
  <si>
    <t>Ⅲ基本操作6.3.</t>
    <rPh sb="1" eb="5">
      <t>キホンソウサ</t>
    </rPh>
    <phoneticPr fontId="3"/>
  </si>
  <si>
    <t>Ⅲ基本操作12.2.</t>
    <rPh sb="1" eb="5">
      <t>キホンソウサ</t>
    </rPh>
    <phoneticPr fontId="3"/>
  </si>
  <si>
    <t>Ⅲ基本操作5.1.2.</t>
    <rPh sb="1" eb="5">
      <t>キホンソウサ</t>
    </rPh>
    <phoneticPr fontId="3"/>
  </si>
  <si>
    <t>Ⅲ基本操作11.4.</t>
    <rPh sb="1" eb="5">
      <t>キホンソウサ</t>
    </rPh>
    <phoneticPr fontId="3"/>
  </si>
  <si>
    <t>Ⅳ各画面での設定16.1.4.</t>
    <rPh sb="1" eb="4">
      <t>カクガメン</t>
    </rPh>
    <rPh sb="6" eb="8">
      <t>セッテイ</t>
    </rPh>
    <phoneticPr fontId="3"/>
  </si>
  <si>
    <t>Ⅲ基本操作15.</t>
    <rPh sb="1" eb="5">
      <t>キホンソウサ</t>
    </rPh>
    <phoneticPr fontId="3"/>
  </si>
  <si>
    <t>詳細(取説)</t>
    <rPh sb="0" eb="2">
      <t>ショウサイ</t>
    </rPh>
    <rPh sb="3" eb="5">
      <t>トリセツ</t>
    </rPh>
    <phoneticPr fontId="3"/>
  </si>
  <si>
    <t>水洗い、拭き上げ</t>
    <rPh sb="0" eb="1">
      <t>ミズ</t>
    </rPh>
    <rPh sb="1" eb="2">
      <t>アラ</t>
    </rPh>
    <rPh sb="4" eb="5">
      <t>フ</t>
    </rPh>
    <rPh sb="6" eb="7">
      <t>ア</t>
    </rPh>
    <phoneticPr fontId="3"/>
  </si>
  <si>
    <t>ide</t>
    <phoneticPr fontId="4"/>
  </si>
  <si>
    <t>設備所属／（株）エスラボ</t>
    <rPh sb="0" eb="2">
      <t>セツビ</t>
    </rPh>
    <rPh sb="2" eb="4">
      <t>ショゾク</t>
    </rPh>
    <phoneticPr fontId="4"/>
  </si>
  <si>
    <t>設備担当／ 小助川　　管理担当者/ 井出</t>
    <rPh sb="0" eb="2">
      <t>セツビ</t>
    </rPh>
    <rPh sb="2" eb="4">
      <t>タントウ</t>
    </rPh>
    <rPh sb="6" eb="9">
      <t>コスケガワ</t>
    </rPh>
    <rPh sb="11" eb="13">
      <t>カンリ</t>
    </rPh>
    <rPh sb="13" eb="16">
      <t>タントウシャ</t>
    </rPh>
    <rPh sb="18" eb="20">
      <t>イデ</t>
    </rPh>
    <phoneticPr fontId="4"/>
  </si>
  <si>
    <t>上下ノズルの確認</t>
    <rPh sb="0" eb="2">
      <t>ジョウゲ</t>
    </rPh>
    <rPh sb="6" eb="8">
      <t>カクニン</t>
    </rPh>
    <phoneticPr fontId="3"/>
  </si>
  <si>
    <t>ワイヤの垂直確認</t>
    <rPh sb="4" eb="6">
      <t>スイチョク</t>
    </rPh>
    <rPh sb="6" eb="8">
      <t>カクニン</t>
    </rPh>
    <phoneticPr fontId="3"/>
  </si>
  <si>
    <t>シール板の清掃</t>
    <rPh sb="3" eb="4">
      <t>イタ</t>
    </rPh>
    <rPh sb="5" eb="7">
      <t>セイソウ</t>
    </rPh>
    <phoneticPr fontId="3"/>
  </si>
  <si>
    <t>下ガイドローラーの確認</t>
    <rPh sb="0" eb="1">
      <t>シタ</t>
    </rPh>
    <rPh sb="9" eb="11">
      <t>カクニン</t>
    </rPh>
    <phoneticPr fontId="3"/>
  </si>
  <si>
    <t>ストレーナの清掃</t>
    <rPh sb="6" eb="8">
      <t>セイソウ</t>
    </rPh>
    <phoneticPr fontId="3"/>
  </si>
  <si>
    <t>比抵抗検出電極の清掃</t>
    <rPh sb="0" eb="3">
      <t>ヒテイコウ</t>
    </rPh>
    <rPh sb="3" eb="5">
      <t>ケンシュツ</t>
    </rPh>
    <rPh sb="5" eb="7">
      <t>デンキョク</t>
    </rPh>
    <rPh sb="8" eb="10">
      <t>セイソウ</t>
    </rPh>
    <phoneticPr fontId="3"/>
  </si>
  <si>
    <t>テンションセンサの調節</t>
    <rPh sb="9" eb="11">
      <t>チョウセツ</t>
    </rPh>
    <phoneticPr fontId="3"/>
  </si>
  <si>
    <t>昇降ドアシール部の清掃</t>
    <rPh sb="0" eb="2">
      <t>ショウコウ</t>
    </rPh>
    <rPh sb="7" eb="8">
      <t>ブ</t>
    </rPh>
    <rPh sb="9" eb="11">
      <t>セイソウ</t>
    </rPh>
    <phoneticPr fontId="3"/>
  </si>
  <si>
    <t>Ⅲ基本操作5.2.</t>
    <rPh sb="1" eb="5">
      <t>キホンソウサ</t>
    </rPh>
    <phoneticPr fontId="3"/>
  </si>
  <si>
    <t>Ⅳ各画面での設定7.3.1.</t>
    <rPh sb="1" eb="4">
      <t>カクガメン</t>
    </rPh>
    <rPh sb="6" eb="8">
      <t>セッテイ</t>
    </rPh>
    <phoneticPr fontId="3"/>
  </si>
  <si>
    <t>※異常と感じたら報告を！</t>
    <rPh sb="1" eb="3">
      <t>イジョウ</t>
    </rPh>
    <rPh sb="4" eb="5">
      <t>カン</t>
    </rPh>
    <rPh sb="8" eb="10">
      <t>ホウコク</t>
    </rPh>
    <phoneticPr fontId="3"/>
  </si>
  <si>
    <t>2026</t>
    <phoneticPr fontId="3"/>
  </si>
  <si>
    <t>4月</t>
    <rPh sb="1" eb="2">
      <t>ガツ</t>
    </rPh>
    <phoneticPr fontId="3"/>
  </si>
  <si>
    <t>5月</t>
    <rPh sb="1" eb="2">
      <t>ガツ</t>
    </rPh>
    <phoneticPr fontId="3"/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</si>
  <si>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</si>
  <si>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</si>
  <si>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</si>
  <si>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</si>
  <si>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</si>
  <si>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</si>
  <si>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</si>
  <si>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</si>
  <si>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</si>
  <si>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3月</t>
  </si>
  <si>
    <t>洗浄</t>
    <rPh sb="0" eb="2">
      <t>センジョウ</t>
    </rPh>
    <phoneticPr fontId="3"/>
  </si>
  <si>
    <t>【点検結果に問題がある場合の報告欄】</t>
    <phoneticPr fontId="3"/>
  </si>
  <si>
    <t>【１年点検】　週初め実施</t>
    <rPh sb="2" eb="3">
      <t>ネン</t>
    </rPh>
    <phoneticPr fontId="4"/>
  </si>
  <si>
    <t>目視・拭き上げ</t>
    <rPh sb="0" eb="2">
      <t>モクシ</t>
    </rPh>
    <rPh sb="3" eb="4">
      <t>フ</t>
    </rPh>
    <rPh sb="5" eb="6">
      <t>ア</t>
    </rPh>
    <phoneticPr fontId="11"/>
  </si>
  <si>
    <t>ブレーキシューの確認</t>
    <rPh sb="8" eb="10">
      <t>カクニン</t>
    </rPh>
    <phoneticPr fontId="3"/>
  </si>
  <si>
    <t>AWFチャック部の確認</t>
    <rPh sb="7" eb="8">
      <t>ブ</t>
    </rPh>
    <rPh sb="9" eb="11">
      <t>カクニン</t>
    </rPh>
    <phoneticPr fontId="3"/>
  </si>
  <si>
    <t>AWF上パイプ部の確認</t>
    <rPh sb="3" eb="4">
      <t>ウエ</t>
    </rPh>
    <rPh sb="7" eb="8">
      <t>ブ</t>
    </rPh>
    <rPh sb="9" eb="11">
      <t>カクニン</t>
    </rPh>
    <phoneticPr fontId="3"/>
  </si>
  <si>
    <t>AWFディテクト部の確認</t>
    <rPh sb="8" eb="9">
      <t>ブ</t>
    </rPh>
    <rPh sb="10" eb="12">
      <t>カクニン</t>
    </rPh>
    <phoneticPr fontId="3"/>
  </si>
  <si>
    <t>フィードドレインホース</t>
    <phoneticPr fontId="3"/>
  </si>
  <si>
    <t>上下ガイド周りの清掃</t>
    <rPh sb="0" eb="2">
      <t>ジョウゲ</t>
    </rPh>
    <rPh sb="5" eb="6">
      <t>マワ</t>
    </rPh>
    <rPh sb="8" eb="10">
      <t>セイソウ</t>
    </rPh>
    <phoneticPr fontId="3"/>
  </si>
  <si>
    <t>加工液の交換</t>
    <rPh sb="0" eb="3">
      <t>カコウエキ</t>
    </rPh>
    <rPh sb="4" eb="6">
      <t>コウカン</t>
    </rPh>
    <phoneticPr fontId="4"/>
  </si>
  <si>
    <t>汚水槽水位検出子の清掃</t>
    <rPh sb="0" eb="3">
      <t>オスイソウ</t>
    </rPh>
    <rPh sb="3" eb="5">
      <t>スイイ</t>
    </rPh>
    <rPh sb="5" eb="7">
      <t>ケンシュツ</t>
    </rPh>
    <rPh sb="7" eb="8">
      <t>コ</t>
    </rPh>
    <rPh sb="9" eb="11">
      <t>セイソウ</t>
    </rPh>
    <phoneticPr fontId="3"/>
  </si>
  <si>
    <t>フィード部の確認</t>
    <rPh sb="4" eb="5">
      <t>ブ</t>
    </rPh>
    <rPh sb="6" eb="8">
      <t>カクニン</t>
    </rPh>
    <phoneticPr fontId="4"/>
  </si>
  <si>
    <t>クーラ内部の配管清掃</t>
    <rPh sb="3" eb="5">
      <t>ナイブ</t>
    </rPh>
    <rPh sb="6" eb="8">
      <t>ハイカン</t>
    </rPh>
    <rPh sb="8" eb="10">
      <t>セイソウ</t>
    </rPh>
    <phoneticPr fontId="3"/>
  </si>
  <si>
    <t>【6ヶ月点検】</t>
    <rPh sb="3" eb="4">
      <t>ゲツ</t>
    </rPh>
    <rPh sb="4" eb="6">
      <t>テンケン</t>
    </rPh>
    <phoneticPr fontId="4"/>
  </si>
  <si>
    <t>グリスアップ  （リニアガイド）</t>
    <phoneticPr fontId="3"/>
  </si>
  <si>
    <t>　　　〃　　  （ボールネジ）</t>
    <phoneticPr fontId="3"/>
  </si>
  <si>
    <t>　　　〃　　  （ドレイン軸）</t>
    <rPh sb="13" eb="14">
      <t>ジク</t>
    </rPh>
    <phoneticPr fontId="3"/>
  </si>
  <si>
    <t>1回/年</t>
    <rPh sb="1" eb="2">
      <t>カイ</t>
    </rPh>
    <rPh sb="3" eb="4">
      <t>ネン</t>
    </rPh>
    <phoneticPr fontId="4"/>
  </si>
  <si>
    <t>*日付 名前:'日付入力' 背景色:'#C0C0C0' テキスト表示色:'#FFFF00'</t>
    <phoneticPr fontId="3"/>
  </si>
  <si>
    <t>*日付 名前:'日付入力1' 背景色:'#C0C0C0' テキスト表示色:'#FFFF00'</t>
  </si>
  <si>
    <t>*日付 名前:'日付入力4' 背景色:'#C0C0C0' テキスト表示色:'#FFFF00'</t>
  </si>
  <si>
    <t>目視(指差)</t>
    <rPh sb="0" eb="2">
      <t>モクシ</t>
    </rPh>
    <rPh sb="3" eb="5">
      <t>シサ</t>
    </rPh>
    <phoneticPr fontId="4"/>
  </si>
  <si>
    <t>目視、聴音</t>
    <rPh sb="0" eb="2">
      <t>モクシ</t>
    </rPh>
    <rPh sb="3" eb="5">
      <t>チョウオン</t>
    </rPh>
    <phoneticPr fontId="4"/>
  </si>
  <si>
    <t>ワイヤ量(残時間)の確認</t>
    <rPh sb="3" eb="4">
      <t>リョウ</t>
    </rPh>
    <rPh sb="5" eb="8">
      <t>ザンジカン</t>
    </rPh>
    <rPh sb="10" eb="12">
      <t>カクニン</t>
    </rPh>
    <phoneticPr fontId="4"/>
  </si>
  <si>
    <t>ダイスガイドの確認・清掃</t>
    <rPh sb="7" eb="9">
      <t>カクニン</t>
    </rPh>
    <rPh sb="10" eb="12">
      <t>セイソウ</t>
    </rPh>
    <phoneticPr fontId="3"/>
  </si>
  <si>
    <t>設定</t>
    <rPh sb="0" eb="2">
      <t>セッテイ</t>
    </rPh>
    <phoneticPr fontId="3"/>
  </si>
  <si>
    <t>フェルトパッドの交換</t>
    <rPh sb="8" eb="10">
      <t>コウカン</t>
    </rPh>
    <phoneticPr fontId="3"/>
  </si>
  <si>
    <t>【1箇月点検】</t>
    <rPh sb="2" eb="4">
      <t>カゲツ</t>
    </rPh>
    <phoneticPr fontId="4"/>
  </si>
  <si>
    <t>フィルタ清掃(制御部ロッカー)</t>
    <rPh sb="7" eb="10">
      <t>セイギョブ</t>
    </rPh>
    <phoneticPr fontId="3"/>
  </si>
  <si>
    <t>清掃</t>
    <rPh sb="0" eb="2">
      <t>セイソウ</t>
    </rPh>
    <phoneticPr fontId="4"/>
  </si>
  <si>
    <t>目視.清掃</t>
    <rPh sb="0" eb="2">
      <t>モクシ</t>
    </rPh>
    <rPh sb="3" eb="5">
      <t>セイソウ</t>
    </rPh>
    <phoneticPr fontId="4"/>
  </si>
  <si>
    <t>フィルタ清掃(クーラー部)</t>
    <rPh sb="11" eb="12">
      <t>ブ</t>
    </rPh>
    <phoneticPr fontId="3"/>
  </si>
  <si>
    <t>測定</t>
    <rPh sb="0" eb="2">
      <t>ソクテイ</t>
    </rPh>
    <phoneticPr fontId="3"/>
  </si>
  <si>
    <t xml:space="preserve">  3-1</t>
    <phoneticPr fontId="3"/>
  </si>
  <si>
    <t xml:space="preserve">  3-2</t>
  </si>
  <si>
    <t>ワイヤーの垂直調整</t>
    <rPh sb="5" eb="7">
      <t>スイチョク</t>
    </rPh>
    <rPh sb="7" eb="9">
      <t>チョウセイ</t>
    </rPh>
    <phoneticPr fontId="3"/>
  </si>
  <si>
    <t>シール板の清掃</t>
    <rPh sb="3" eb="4">
      <t>イタ</t>
    </rPh>
    <rPh sb="5" eb="7">
      <t>セイソウ</t>
    </rPh>
    <phoneticPr fontId="4"/>
  </si>
  <si>
    <r>
      <t>ガイド部(</t>
    </r>
    <r>
      <rPr>
        <sz val="9"/>
        <rFont val="ＭＳ ゴシック"/>
        <family val="3"/>
        <charset val="128"/>
      </rPr>
      <t>上下</t>
    </r>
    <r>
      <rPr>
        <sz val="10"/>
        <rFont val="ＭＳ ゴシック"/>
        <family val="3"/>
        <charset val="128"/>
      </rPr>
      <t>)の平行確認　20㎛以下/20㎜</t>
    </r>
    <rPh sb="3" eb="4">
      <t>ブ</t>
    </rPh>
    <rPh sb="5" eb="7">
      <t>ジョウゲ</t>
    </rPh>
    <rPh sb="9" eb="11">
      <t>ヘイコウ</t>
    </rPh>
    <rPh sb="11" eb="13">
      <t>カクニン</t>
    </rPh>
    <rPh sb="17" eb="19">
      <t>イカ</t>
    </rPh>
    <phoneticPr fontId="3"/>
  </si>
  <si>
    <t>プレシールジャバラの清掃</t>
    <rPh sb="10" eb="12">
      <t>セイソウ</t>
    </rPh>
    <phoneticPr fontId="4"/>
  </si>
  <si>
    <t>給脂</t>
    <rPh sb="0" eb="2">
      <t>キュウシ</t>
    </rPh>
    <phoneticPr fontId="3"/>
  </si>
  <si>
    <t>目視・清掃</t>
    <rPh sb="0" eb="2">
      <t>モクシ</t>
    </rPh>
    <rPh sb="3" eb="5">
      <t>セイソウ</t>
    </rPh>
    <phoneticPr fontId="3"/>
  </si>
  <si>
    <t>ワイヤ経路の確認</t>
    <rPh sb="3" eb="5">
      <t>ケイロ</t>
    </rPh>
    <rPh sb="6" eb="8">
      <t>カクニン</t>
    </rPh>
    <phoneticPr fontId="4"/>
  </si>
  <si>
    <t>【3箇月点検】</t>
    <rPh sb="2" eb="4">
      <t>カゲツ</t>
    </rPh>
    <rPh sb="4" eb="6">
      <t>テンケン</t>
    </rPh>
    <phoneticPr fontId="4"/>
  </si>
  <si>
    <t>点検結果記入要領　　[異常なし：✔　　故障：×　修理：△　非稼働：K]</t>
    <rPh sb="0" eb="2">
      <t>テンケン</t>
    </rPh>
    <rPh sb="2" eb="4">
      <t>ケッカ</t>
    </rPh>
    <rPh sb="4" eb="6">
      <t>キニュウ</t>
    </rPh>
    <rPh sb="6" eb="8">
      <t>ヨウリョウ</t>
    </rPh>
    <rPh sb="11" eb="13">
      <t>イジョウ</t>
    </rPh>
    <rPh sb="19" eb="21">
      <t>コショウ</t>
    </rPh>
    <rPh sb="24" eb="26">
      <t>シュウリ</t>
    </rPh>
    <rPh sb="29" eb="32">
      <t>ヒカドウ</t>
    </rPh>
    <phoneticPr fontId="4"/>
  </si>
  <si>
    <t>稼働状況→</t>
    <rPh sb="0" eb="2">
      <t>カドウ</t>
    </rPh>
    <rPh sb="2" eb="4">
      <t>ジョウキョウ</t>
    </rPh>
    <phoneticPr fontId="3"/>
  </si>
  <si>
    <t>点検結果記入要領　　[異常なし：✔　　交換：×  修理：△］　</t>
    <rPh sb="0" eb="2">
      <t>テンケン</t>
    </rPh>
    <rPh sb="2" eb="4">
      <t>ケッカ</t>
    </rPh>
    <rPh sb="4" eb="6">
      <t>キニュウ</t>
    </rPh>
    <rPh sb="6" eb="8">
      <t>ヨウリョウ</t>
    </rPh>
    <rPh sb="11" eb="13">
      <t>イジョウ</t>
    </rPh>
    <rPh sb="19" eb="21">
      <t>コウカン</t>
    </rPh>
    <rPh sb="25" eb="27">
      <t>シュウリ</t>
    </rPh>
    <phoneticPr fontId="4"/>
  </si>
  <si>
    <t>８</t>
    <phoneticPr fontId="3"/>
  </si>
  <si>
    <t>稼働状況　［稼働：✔　非稼働：／ ］</t>
    <rPh sb="6" eb="8">
      <t>カドウ</t>
    </rPh>
    <rPh sb="11" eb="14">
      <t>ヒカドウ</t>
    </rPh>
    <phoneticPr fontId="3"/>
  </si>
  <si>
    <t>日付</t>
    <rPh sb="0" eb="2">
      <t>ヒヅケ</t>
    </rPh>
    <phoneticPr fontId="3"/>
  </si>
  <si>
    <t>曜日</t>
    <rPh sb="0" eb="2">
      <t>ヨウビ</t>
    </rPh>
    <phoneticPr fontId="3"/>
  </si>
  <si>
    <t>【その他】</t>
    <rPh sb="3" eb="4">
      <t>タ</t>
    </rPh>
    <phoneticPr fontId="4"/>
  </si>
  <si>
    <t>フィルター交換</t>
    <rPh sb="5" eb="7">
      <t>コウカン</t>
    </rPh>
    <phoneticPr fontId="3"/>
  </si>
  <si>
    <t>ワイヤー交換</t>
    <rPh sb="4" eb="6">
      <t>コウカン</t>
    </rPh>
    <phoneticPr fontId="3"/>
  </si>
  <si>
    <t>加工液量(タンク)の確認</t>
    <rPh sb="0" eb="3">
      <t>カコウエキ</t>
    </rPh>
    <rPh sb="3" eb="4">
      <t>リョウ</t>
    </rPh>
    <rPh sb="10" eb="12">
      <t>カクニン</t>
    </rPh>
    <phoneticPr fontId="3"/>
  </si>
  <si>
    <t>イオン交換樹脂の残時間を確認</t>
    <rPh sb="3" eb="5">
      <t>コウカン</t>
    </rPh>
    <rPh sb="5" eb="7">
      <t>ジュシ</t>
    </rPh>
    <rPh sb="8" eb="9">
      <t>ザン</t>
    </rPh>
    <rPh sb="9" eb="11">
      <t>ジカン</t>
    </rPh>
    <rPh sb="12" eb="14">
      <t>カクニン</t>
    </rPh>
    <phoneticPr fontId="3"/>
  </si>
  <si>
    <t>油漏れ、水漏れ等の確認</t>
    <rPh sb="0" eb="1">
      <t>アブラ</t>
    </rPh>
    <rPh sb="1" eb="2">
      <t>モ</t>
    </rPh>
    <rPh sb="4" eb="6">
      <t>ミズモ</t>
    </rPh>
    <rPh sb="7" eb="8">
      <t>トウ</t>
    </rPh>
    <rPh sb="9" eb="11">
      <t>カクニン</t>
    </rPh>
    <phoneticPr fontId="11"/>
  </si>
  <si>
    <t>目視・清掃</t>
    <rPh sb="0" eb="2">
      <t>モクシ</t>
    </rPh>
    <rPh sb="3" eb="5">
      <t>セイソウ</t>
    </rPh>
    <phoneticPr fontId="4"/>
  </si>
  <si>
    <t>使用済みワイヤ量の確認</t>
    <rPh sb="0" eb="3">
      <t>シヨウズ</t>
    </rPh>
    <rPh sb="7" eb="8">
      <t>リョウ</t>
    </rPh>
    <rPh sb="9" eb="11">
      <t>カクニン</t>
    </rPh>
    <phoneticPr fontId="4"/>
  </si>
  <si>
    <t>終始</t>
    <rPh sb="0" eb="2">
      <t>シュウシ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</si>
</sst>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m"/>
    <numFmt numFmtId="177" formatCode="m/d;@"/>
    <numFmt numFmtId="178" formatCode="@&quot;年&quot;"/>
    <numFmt numFmtId="179" formatCode="@&quot;月&quot;"/>
    <numFmt numFmtId="180" formatCode="d"/>
    <numFmt numFmtId="181" formatCode="@&quot; 年度&quot;"/>
  </numFmts>
  <fonts count="27">
    <font>
      <sz val="11"/>
      <color theme="1"/>
      <name val="游ゴシック"/>
      <family val="2"/>
      <charset val="128"/>
      <scheme val="minor"/>
    </font>
    <font>
      <sz val="11"/>
      <name val="明朝"/>
      <family val="1"/>
      <charset val="128"/>
    </font>
    <font>
      <b/>
      <u val="double"/>
      <sz val="16"/>
      <name val="ＭＳ ゴシック"/>
      <family val="3"/>
      <charset val="128"/>
    </font>
    <font>
      <sz val="6"/>
      <name val="游ゴシック"/>
      <family val="2"/>
      <charset val="128"/>
      <scheme val="minor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20"/>
      <name val="ＭＳ ゴシック"/>
      <family val="3"/>
      <charset val="128"/>
    </font>
    <font>
      <sz val="18"/>
      <name val="ＭＳ ゴシック"/>
      <family val="3"/>
      <charset val="128"/>
    </font>
    <font>
      <sz val="10"/>
      <name val="ＭＳ ゴシック"/>
      <family val="3"/>
      <charset val="128"/>
    </font>
    <font>
      <sz val="12"/>
      <name val="ＭＳ ゴシック"/>
      <family val="3"/>
      <charset val="128"/>
    </font>
    <font>
      <sz val="12"/>
      <name val="明朝"/>
      <family val="1"/>
      <charset val="128"/>
    </font>
    <font>
      <sz val="6"/>
      <name val="ＭＳ Ｐゴシック"/>
      <family val="3"/>
      <charset val="128"/>
    </font>
    <font>
      <sz val="16"/>
      <name val="明朝"/>
      <family val="1"/>
      <charset val="128"/>
    </font>
    <font>
      <sz val="9"/>
      <name val="ＭＳ ゴシック"/>
      <family val="3"/>
      <charset val="128"/>
    </font>
    <font>
      <b/>
      <sz val="16"/>
      <name val="ＭＳ ゴシック"/>
      <family val="3"/>
      <charset val="128"/>
    </font>
    <font>
      <b/>
      <sz val="14"/>
      <name val="ＭＳ ゴシック"/>
      <family val="3"/>
      <charset val="128"/>
    </font>
    <font>
      <sz val="16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11"/>
      <color theme="0"/>
      <name val="游ゴシック"/>
      <family val="2"/>
      <charset val="128"/>
      <scheme val="minor"/>
    </font>
    <font>
      <sz val="11"/>
      <color theme="0"/>
      <name val="ＭＳ ゴシック"/>
      <family val="3"/>
      <charset val="128"/>
    </font>
    <font>
      <sz val="12"/>
      <color theme="0"/>
      <name val="ＭＳ ゴシック"/>
      <family val="3"/>
      <charset val="128"/>
    </font>
    <font>
      <sz val="11"/>
      <color rgb="FFFF0000"/>
      <name val="游ゴシック"/>
      <family val="2"/>
      <charset val="128"/>
      <scheme val="minor"/>
    </font>
    <font>
      <b/>
      <sz val="18"/>
      <name val="ＭＳ ゴシック"/>
      <family val="3"/>
      <charset val="128"/>
    </font>
    <font>
      <sz val="14"/>
      <name val="ＭＳ ゴシック"/>
      <family val="3"/>
      <charset val="128"/>
    </font>
    <font>
      <sz val="11"/>
      <color rgb="FFFF0000"/>
      <name val="游ゴシック"/>
      <family val="3"/>
      <charset val="128"/>
      <scheme val="minor"/>
    </font>
    <font>
      <sz val="16"/>
      <name val="ＭＳ Ｐゴシック"/>
      <family val="1"/>
      <charset val="128"/>
    </font>
    <font>
      <b/>
      <sz val="10"/>
      <name val="ＭＳ 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7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180">
    <xf numFmtId="0" fontId="0" fillId="0" borderId="0" xfId="0">
      <alignment vertical="center"/>
    </xf>
    <xf numFmtId="0" fontId="5" fillId="0" borderId="0" xfId="1" applyFont="1" applyAlignment="1">
      <alignment horizontal="centerContinuous" vertical="center"/>
    </xf>
    <xf numFmtId="0" fontId="5" fillId="0" borderId="0" xfId="1" applyFont="1"/>
    <xf numFmtId="0" fontId="1" fillId="0" borderId="0" xfId="1"/>
    <xf numFmtId="0" fontId="6" fillId="0" borderId="0" xfId="1" applyFont="1" applyAlignment="1">
      <alignment horizontal="centerContinuous" vertical="center"/>
    </xf>
    <xf numFmtId="0" fontId="7" fillId="0" borderId="0" xfId="1" applyFont="1"/>
    <xf numFmtId="0" fontId="8" fillId="0" borderId="0" xfId="1" applyFont="1"/>
    <xf numFmtId="0" fontId="9" fillId="0" borderId="7" xfId="1" applyFont="1" applyBorder="1" applyAlignment="1">
      <alignment horizontal="left" vertical="center"/>
    </xf>
    <xf numFmtId="0" fontId="5" fillId="0" borderId="8" xfId="1" applyFont="1" applyBorder="1" applyAlignment="1">
      <alignment horizontal="left" vertical="center"/>
    </xf>
    <xf numFmtId="0" fontId="8" fillId="0" borderId="9" xfId="1" applyFont="1" applyBorder="1"/>
    <xf numFmtId="0" fontId="8" fillId="0" borderId="0" xfId="1" applyFont="1" applyAlignment="1">
      <alignment horizontal="centerContinuous" vertical="center"/>
    </xf>
    <xf numFmtId="0" fontId="1" fillId="0" borderId="13" xfId="1" applyBorder="1"/>
    <xf numFmtId="0" fontId="1" fillId="0" borderId="14" xfId="1" applyBorder="1"/>
    <xf numFmtId="0" fontId="9" fillId="0" borderId="15" xfId="1" applyFont="1" applyBorder="1" applyAlignment="1">
      <alignment horizontal="left" vertical="center"/>
    </xf>
    <xf numFmtId="0" fontId="5" fillId="0" borderId="16" xfId="1" applyFont="1" applyBorder="1" applyAlignment="1">
      <alignment horizontal="center" vertical="center"/>
    </xf>
    <xf numFmtId="0" fontId="5" fillId="0" borderId="16" xfId="1" applyFont="1" applyBorder="1"/>
    <xf numFmtId="0" fontId="5" fillId="0" borderId="17" xfId="1" applyFont="1" applyBorder="1"/>
    <xf numFmtId="0" fontId="5" fillId="0" borderId="18" xfId="1" applyFont="1" applyBorder="1" applyAlignment="1">
      <alignment horizontal="left" vertical="center"/>
    </xf>
    <xf numFmtId="0" fontId="5" fillId="0" borderId="19" xfId="1" applyFont="1" applyBorder="1" applyAlignment="1">
      <alignment horizontal="center" vertical="center"/>
    </xf>
    <xf numFmtId="0" fontId="5" fillId="0" borderId="19" xfId="1" applyFont="1" applyBorder="1"/>
    <xf numFmtId="0" fontId="5" fillId="0" borderId="20" xfId="1" applyFont="1" applyBorder="1"/>
    <xf numFmtId="0" fontId="1" fillId="0" borderId="21" xfId="1" applyBorder="1"/>
    <xf numFmtId="0" fontId="1" fillId="0" borderId="22" xfId="1" applyBorder="1"/>
    <xf numFmtId="0" fontId="1" fillId="0" borderId="23" xfId="1" applyBorder="1"/>
    <xf numFmtId="176" fontId="8" fillId="0" borderId="0" xfId="1" applyNumberFormat="1" applyFont="1"/>
    <xf numFmtId="0" fontId="8" fillId="0" borderId="24" xfId="1" applyFont="1" applyBorder="1" applyAlignment="1">
      <alignment horizontal="center" vertical="center"/>
    </xf>
    <xf numFmtId="0" fontId="9" fillId="0" borderId="25" xfId="1" applyFont="1" applyBorder="1" applyAlignment="1">
      <alignment horizontal="centerContinuous" vertical="center"/>
    </xf>
    <xf numFmtId="0" fontId="9" fillId="0" borderId="25" xfId="1" applyFont="1" applyBorder="1" applyAlignment="1">
      <alignment horizontal="center" vertical="center"/>
    </xf>
    <xf numFmtId="0" fontId="8" fillId="0" borderId="25" xfId="1" applyFont="1" applyBorder="1" applyAlignment="1">
      <alignment horizontal="center" vertical="center"/>
    </xf>
    <xf numFmtId="0" fontId="8" fillId="0" borderId="27" xfId="1" applyFont="1" applyBorder="1" applyAlignment="1">
      <alignment horizontal="center" vertical="center"/>
    </xf>
    <xf numFmtId="0" fontId="9" fillId="0" borderId="28" xfId="1" applyFont="1" applyBorder="1" applyAlignment="1">
      <alignment horizontal="center" vertical="center"/>
    </xf>
    <xf numFmtId="0" fontId="8" fillId="0" borderId="28" xfId="1" applyFont="1" applyBorder="1" applyAlignment="1">
      <alignment horizontal="center" vertical="center"/>
    </xf>
    <xf numFmtId="0" fontId="5" fillId="0" borderId="29" xfId="1" applyFont="1" applyBorder="1" applyAlignment="1">
      <alignment horizontal="center" vertical="center"/>
    </xf>
    <xf numFmtId="0" fontId="5" fillId="0" borderId="30" xfId="1" applyFont="1" applyBorder="1" applyAlignment="1">
      <alignment horizontal="center" vertical="center"/>
    </xf>
    <xf numFmtId="0" fontId="9" fillId="0" borderId="31" xfId="1" applyFont="1" applyBorder="1" applyAlignment="1">
      <alignment horizontal="centerContinuous"/>
    </xf>
    <xf numFmtId="0" fontId="5" fillId="0" borderId="32" xfId="1" applyFont="1" applyBorder="1"/>
    <xf numFmtId="0" fontId="5" fillId="0" borderId="32" xfId="1" applyFont="1" applyBorder="1" applyAlignment="1">
      <alignment horizontal="center"/>
    </xf>
    <xf numFmtId="0" fontId="5" fillId="0" borderId="35" xfId="1" applyFont="1" applyBorder="1" applyAlignment="1">
      <alignment horizontal="centerContinuous"/>
    </xf>
    <xf numFmtId="0" fontId="9" fillId="0" borderId="35" xfId="1" applyFont="1" applyBorder="1" applyAlignment="1">
      <alignment horizontal="centerContinuous"/>
    </xf>
    <xf numFmtId="0" fontId="9" fillId="0" borderId="32" xfId="1" applyFont="1" applyBorder="1" applyAlignment="1">
      <alignment horizontal="center"/>
    </xf>
    <xf numFmtId="0" fontId="5" fillId="0" borderId="32" xfId="1" applyFont="1" applyBorder="1" applyAlignment="1">
      <alignment wrapText="1"/>
    </xf>
    <xf numFmtId="0" fontId="9" fillId="0" borderId="39" xfId="1" applyFont="1" applyBorder="1" applyAlignment="1">
      <alignment horizontal="centerContinuous"/>
    </xf>
    <xf numFmtId="0" fontId="15" fillId="0" borderId="40" xfId="1" applyFont="1" applyBorder="1" applyAlignment="1">
      <alignment vertical="center" wrapText="1"/>
    </xf>
    <xf numFmtId="0" fontId="5" fillId="0" borderId="41" xfId="1" applyFont="1" applyBorder="1" applyAlignment="1">
      <alignment horizontal="center"/>
    </xf>
    <xf numFmtId="0" fontId="5" fillId="0" borderId="45" xfId="1" applyFont="1" applyBorder="1"/>
    <xf numFmtId="0" fontId="9" fillId="0" borderId="47" xfId="1" applyFont="1" applyBorder="1" applyAlignment="1">
      <alignment horizontal="center" vertical="center"/>
    </xf>
    <xf numFmtId="0" fontId="9" fillId="0" borderId="48" xfId="1" applyFont="1" applyBorder="1" applyAlignment="1">
      <alignment horizontal="left" vertical="center"/>
    </xf>
    <xf numFmtId="0" fontId="9" fillId="0" borderId="50" xfId="1" applyFont="1" applyBorder="1" applyAlignment="1">
      <alignment horizontal="center" vertical="center"/>
    </xf>
    <xf numFmtId="0" fontId="16" fillId="0" borderId="50" xfId="1" applyFont="1" applyBorder="1" applyAlignment="1">
      <alignment horizontal="center" vertical="center"/>
    </xf>
    <xf numFmtId="0" fontId="5" fillId="0" borderId="21" xfId="1" applyFont="1" applyBorder="1"/>
    <xf numFmtId="0" fontId="5" fillId="0" borderId="22" xfId="1" applyFont="1" applyBorder="1"/>
    <xf numFmtId="0" fontId="17" fillId="0" borderId="0" xfId="1" applyFont="1"/>
    <xf numFmtId="0" fontId="0" fillId="2" borderId="0" xfId="0" applyFill="1">
      <alignment vertical="center"/>
    </xf>
    <xf numFmtId="0" fontId="5" fillId="0" borderId="44" xfId="1" applyFont="1" applyBorder="1" applyAlignment="1">
      <alignment horizontal="centerContinuous" vertical="center"/>
    </xf>
    <xf numFmtId="0" fontId="5" fillId="0" borderId="45" xfId="1" applyFont="1" applyBorder="1" applyAlignment="1">
      <alignment horizontal="centerContinuous" vertical="center"/>
    </xf>
    <xf numFmtId="0" fontId="5" fillId="0" borderId="45" xfId="1" applyFont="1" applyBorder="1" applyAlignment="1">
      <alignment horizontal="center"/>
    </xf>
    <xf numFmtId="0" fontId="5" fillId="0" borderId="46" xfId="1" applyFont="1" applyBorder="1" applyAlignment="1">
      <alignment horizontal="center"/>
    </xf>
    <xf numFmtId="0" fontId="5" fillId="0" borderId="45" xfId="1" applyFont="1" applyBorder="1" applyAlignment="1">
      <alignment wrapText="1"/>
    </xf>
    <xf numFmtId="177" fontId="5" fillId="0" borderId="48" xfId="1" applyNumberFormat="1" applyFont="1" applyBorder="1" applyAlignment="1">
      <alignment wrapText="1"/>
    </xf>
    <xf numFmtId="177" fontId="5" fillId="0" borderId="51" xfId="1" applyNumberFormat="1" applyFont="1" applyBorder="1" applyAlignment="1">
      <alignment wrapText="1"/>
    </xf>
    <xf numFmtId="177" fontId="5" fillId="0" borderId="22" xfId="1" applyNumberFormat="1" applyFont="1" applyBorder="1" applyAlignment="1">
      <alignment wrapText="1"/>
    </xf>
    <xf numFmtId="0" fontId="5" fillId="0" borderId="48" xfId="1" applyFont="1" applyBorder="1" applyAlignment="1">
      <alignment horizontal="center"/>
    </xf>
    <xf numFmtId="0" fontId="5" fillId="0" borderId="51" xfId="1" applyFont="1" applyBorder="1" applyAlignment="1">
      <alignment horizontal="center"/>
    </xf>
    <xf numFmtId="0" fontId="5" fillId="0" borderId="22" xfId="1" applyFont="1" applyBorder="1" applyAlignment="1">
      <alignment horizontal="center"/>
    </xf>
    <xf numFmtId="177" fontId="19" fillId="0" borderId="0" xfId="1" applyNumberFormat="1" applyFont="1" applyAlignment="1">
      <alignment wrapText="1"/>
    </xf>
    <xf numFmtId="0" fontId="18" fillId="0" borderId="0" xfId="0" applyFont="1">
      <alignment vertical="center"/>
    </xf>
    <xf numFmtId="0" fontId="20" fillId="0" borderId="0" xfId="1" applyFont="1" applyAlignment="1">
      <alignment horizontal="left" vertical="center"/>
    </xf>
    <xf numFmtId="0" fontId="19" fillId="0" borderId="0" xfId="1" applyFont="1"/>
    <xf numFmtId="0" fontId="8" fillId="0" borderId="33" xfId="1" applyFont="1" applyBorder="1" applyAlignment="1">
      <alignment horizontal="center"/>
    </xf>
    <xf numFmtId="0" fontId="8" fillId="0" borderId="34" xfId="1" applyFont="1" applyBorder="1" applyAlignment="1">
      <alignment horizontal="center"/>
    </xf>
    <xf numFmtId="0" fontId="8" fillId="0" borderId="33" xfId="1" applyFont="1" applyBorder="1" applyAlignment="1">
      <alignment horizontal="center" wrapText="1"/>
    </xf>
    <xf numFmtId="0" fontId="8" fillId="0" borderId="34" xfId="1" applyFont="1" applyBorder="1" applyAlignment="1">
      <alignment horizontal="center" wrapText="1"/>
    </xf>
    <xf numFmtId="0" fontId="8" fillId="0" borderId="14" xfId="1" applyFont="1" applyBorder="1" applyAlignment="1">
      <alignment horizontal="center" wrapText="1"/>
    </xf>
    <xf numFmtId="0" fontId="8" fillId="0" borderId="36" xfId="1" applyFont="1" applyBorder="1" applyAlignment="1">
      <alignment horizontal="center"/>
    </xf>
    <xf numFmtId="0" fontId="8" fillId="0" borderId="37" xfId="1" applyFont="1" applyBorder="1" applyAlignment="1">
      <alignment horizontal="center"/>
    </xf>
    <xf numFmtId="0" fontId="8" fillId="0" borderId="36" xfId="1" applyFont="1" applyBorder="1" applyAlignment="1">
      <alignment horizontal="center" wrapText="1"/>
    </xf>
    <xf numFmtId="0" fontId="8" fillId="0" borderId="38" xfId="1" applyFont="1" applyBorder="1" applyAlignment="1">
      <alignment horizontal="center" wrapText="1"/>
    </xf>
    <xf numFmtId="0" fontId="8" fillId="0" borderId="42" xfId="1" applyFont="1" applyBorder="1" applyAlignment="1">
      <alignment horizontal="center" wrapText="1"/>
    </xf>
    <xf numFmtId="0" fontId="8" fillId="0" borderId="22" xfId="1" applyFont="1" applyBorder="1" applyAlignment="1">
      <alignment horizontal="center" wrapText="1"/>
    </xf>
    <xf numFmtId="0" fontId="8" fillId="0" borderId="43" xfId="1" applyFont="1" applyBorder="1" applyAlignment="1">
      <alignment horizontal="center" wrapText="1"/>
    </xf>
    <xf numFmtId="0" fontId="5" fillId="0" borderId="45" xfId="1" applyFont="1" applyBorder="1" applyAlignment="1">
      <alignment horizontal="center" wrapText="1"/>
    </xf>
    <xf numFmtId="177" fontId="5" fillId="0" borderId="45" xfId="1" applyNumberFormat="1" applyFont="1" applyBorder="1" applyAlignment="1">
      <alignment horizontal="center" wrapText="1"/>
    </xf>
    <xf numFmtId="0" fontId="5" fillId="0" borderId="48" xfId="1" applyFont="1" applyBorder="1" applyAlignment="1">
      <alignment horizontal="center" wrapText="1"/>
    </xf>
    <xf numFmtId="177" fontId="5" fillId="0" borderId="48" xfId="1" applyNumberFormat="1" applyFont="1" applyBorder="1" applyAlignment="1">
      <alignment horizontal="center" wrapText="1"/>
    </xf>
    <xf numFmtId="0" fontId="5" fillId="0" borderId="49" xfId="1" applyFont="1" applyBorder="1" applyAlignment="1">
      <alignment horizontal="center"/>
    </xf>
    <xf numFmtId="177" fontId="5" fillId="0" borderId="51" xfId="1" applyNumberFormat="1" applyFont="1" applyBorder="1" applyAlignment="1">
      <alignment horizontal="center" wrapText="1"/>
    </xf>
    <xf numFmtId="0" fontId="5" fillId="0" borderId="52" xfId="1" applyFont="1" applyBorder="1" applyAlignment="1">
      <alignment horizontal="center"/>
    </xf>
    <xf numFmtId="0" fontId="5" fillId="0" borderId="53" xfId="1" applyFont="1" applyBorder="1" applyAlignment="1">
      <alignment horizontal="center" wrapText="1"/>
    </xf>
    <xf numFmtId="177" fontId="5" fillId="0" borderId="22" xfId="1" applyNumberFormat="1" applyFont="1" applyBorder="1" applyAlignment="1">
      <alignment horizontal="center" wrapText="1"/>
    </xf>
    <xf numFmtId="0" fontId="5" fillId="0" borderId="23" xfId="1" applyFont="1" applyBorder="1" applyAlignment="1">
      <alignment horizontal="center"/>
    </xf>
    <xf numFmtId="0" fontId="23" fillId="0" borderId="19" xfId="1" applyFont="1" applyBorder="1" applyAlignment="1">
      <alignment horizontal="centerContinuous" vertical="center"/>
    </xf>
    <xf numFmtId="0" fontId="21" fillId="0" borderId="0" xfId="0" applyFont="1">
      <alignment vertical="center"/>
    </xf>
    <xf numFmtId="0" fontId="24" fillId="0" borderId="0" xfId="0" applyFont="1">
      <alignment vertical="center"/>
    </xf>
    <xf numFmtId="0" fontId="9" fillId="0" borderId="48" xfId="1" applyFont="1" applyBorder="1" applyAlignment="1">
      <alignment horizontal="right" vertical="center"/>
    </xf>
    <xf numFmtId="0" fontId="9" fillId="0" borderId="51" xfId="1" applyFont="1" applyBorder="1" applyAlignment="1">
      <alignment horizontal="right" vertical="center"/>
    </xf>
    <xf numFmtId="0" fontId="5" fillId="0" borderId="48" xfId="1" applyFont="1" applyBorder="1" applyAlignment="1">
      <alignment horizontal="left" vertical="center"/>
    </xf>
    <xf numFmtId="0" fontId="5" fillId="0" borderId="51" xfId="1" applyFont="1" applyBorder="1" applyAlignment="1">
      <alignment horizontal="left" vertical="center"/>
    </xf>
    <xf numFmtId="0" fontId="5" fillId="0" borderId="32" xfId="1" applyFont="1" applyBorder="1" applyAlignment="1">
      <alignment horizontal="left" vertical="center"/>
    </xf>
    <xf numFmtId="0" fontId="5" fillId="0" borderId="32" xfId="1" applyFont="1" applyBorder="1" applyAlignment="1">
      <alignment horizontal="center" vertical="center"/>
    </xf>
    <xf numFmtId="0" fontId="9" fillId="0" borderId="0" xfId="1" applyFont="1" applyAlignment="1">
      <alignment horizontal="left" vertical="center"/>
    </xf>
    <xf numFmtId="0" fontId="15" fillId="0" borderId="62" xfId="1" applyFont="1" applyBorder="1" applyAlignment="1">
      <alignment vertical="center" wrapText="1"/>
    </xf>
    <xf numFmtId="0" fontId="5" fillId="0" borderId="32" xfId="1" applyFont="1" applyBorder="1" applyAlignment="1">
      <alignment vertical="center" wrapText="1"/>
    </xf>
    <xf numFmtId="180" fontId="13" fillId="0" borderId="26" xfId="1" applyNumberFormat="1" applyFont="1" applyBorder="1" applyAlignment="1">
      <alignment horizontal="center" vertical="center"/>
    </xf>
    <xf numFmtId="176" fontId="26" fillId="0" borderId="0" xfId="1" applyNumberFormat="1" applyFont="1" applyAlignment="1">
      <alignment horizontal="center"/>
    </xf>
    <xf numFmtId="0" fontId="5" fillId="0" borderId="45" xfId="1" applyFont="1" applyBorder="1" applyAlignment="1">
      <alignment horizontal="left" wrapText="1"/>
    </xf>
    <xf numFmtId="0" fontId="5" fillId="0" borderId="48" xfId="1" applyFont="1" applyBorder="1" applyAlignment="1">
      <alignment horizontal="left" wrapText="1"/>
    </xf>
    <xf numFmtId="0" fontId="5" fillId="0" borderId="35" xfId="1" applyFont="1" applyBorder="1" applyAlignment="1">
      <alignment horizontal="center" vertical="center"/>
    </xf>
    <xf numFmtId="0" fontId="5" fillId="0" borderId="15" xfId="1" applyFont="1" applyBorder="1" applyAlignment="1">
      <alignment horizontal="left" vertical="center"/>
    </xf>
    <xf numFmtId="0" fontId="5" fillId="0" borderId="22" xfId="1" applyFont="1" applyBorder="1" applyAlignment="1">
      <alignment horizontal="left" wrapText="1"/>
    </xf>
    <xf numFmtId="49" fontId="5" fillId="0" borderId="35" xfId="1" applyNumberFormat="1" applyFont="1" applyBorder="1" applyAlignment="1">
      <alignment horizontal="center"/>
    </xf>
    <xf numFmtId="0" fontId="5" fillId="0" borderId="32" xfId="1" applyFont="1" applyBorder="1" applyAlignment="1">
      <alignment horizontal="right" vertical="center"/>
    </xf>
    <xf numFmtId="0" fontId="8" fillId="0" borderId="0" xfId="1" applyFont="1" applyAlignment="1">
      <alignment horizontal="left" vertical="center"/>
    </xf>
    <xf numFmtId="0" fontId="5" fillId="0" borderId="57" xfId="1" applyFont="1" applyBorder="1" applyAlignment="1">
      <alignment horizontal="left" vertical="center"/>
    </xf>
    <xf numFmtId="0" fontId="5" fillId="0" borderId="58" xfId="1" applyFont="1" applyBorder="1" applyAlignment="1">
      <alignment horizontal="left" vertical="center"/>
    </xf>
    <xf numFmtId="0" fontId="5" fillId="0" borderId="57" xfId="1" applyFont="1" applyBorder="1" applyAlignment="1">
      <alignment horizontal="left" vertical="center" wrapText="1"/>
    </xf>
    <xf numFmtId="0" fontId="5" fillId="0" borderId="58" xfId="1" applyFont="1" applyBorder="1" applyAlignment="1">
      <alignment horizontal="left" vertical="center" wrapText="1"/>
    </xf>
    <xf numFmtId="0" fontId="5" fillId="0" borderId="63" xfId="1" applyFont="1" applyBorder="1" applyAlignment="1">
      <alignment horizontal="center" vertical="center"/>
    </xf>
    <xf numFmtId="0" fontId="5" fillId="0" borderId="64" xfId="1" applyFont="1" applyBorder="1" applyAlignment="1">
      <alignment horizontal="center" vertical="center"/>
    </xf>
    <xf numFmtId="0" fontId="5" fillId="0" borderId="53" xfId="1" applyFont="1" applyBorder="1" applyAlignment="1">
      <alignment horizontal="left" wrapText="1"/>
    </xf>
    <xf numFmtId="0" fontId="5" fillId="0" borderId="45" xfId="1" applyFont="1" applyBorder="1" applyAlignment="1">
      <alignment horizontal="left" wrapText="1"/>
    </xf>
    <xf numFmtId="0" fontId="5" fillId="0" borderId="48" xfId="1" applyFont="1" applyBorder="1" applyAlignment="1">
      <alignment horizontal="left" wrapText="1"/>
    </xf>
    <xf numFmtId="0" fontId="15" fillId="0" borderId="59" xfId="1" applyFont="1" applyBorder="1" applyAlignment="1">
      <alignment horizontal="left" vertical="center" wrapText="1"/>
    </xf>
    <xf numFmtId="0" fontId="15" fillId="0" borderId="60" xfId="1" applyFont="1" applyBorder="1" applyAlignment="1">
      <alignment horizontal="left" vertical="center" wrapText="1"/>
    </xf>
    <xf numFmtId="0" fontId="5" fillId="0" borderId="57" xfId="1" applyFont="1" applyBorder="1" applyAlignment="1">
      <alignment wrapText="1"/>
    </xf>
    <xf numFmtId="0" fontId="5" fillId="0" borderId="58" xfId="1" applyFont="1" applyBorder="1" applyAlignment="1">
      <alignment wrapText="1"/>
    </xf>
    <xf numFmtId="0" fontId="14" fillId="0" borderId="57" xfId="1" applyFont="1" applyBorder="1" applyAlignment="1">
      <alignment horizontal="left" vertical="center" wrapText="1"/>
    </xf>
    <xf numFmtId="0" fontId="14" fillId="0" borderId="58" xfId="1" applyFont="1" applyBorder="1" applyAlignment="1">
      <alignment horizontal="left" vertical="center" wrapText="1"/>
    </xf>
    <xf numFmtId="0" fontId="5" fillId="0" borderId="65" xfId="1" applyFont="1" applyBorder="1" applyAlignment="1">
      <alignment horizontal="center" vertical="center"/>
    </xf>
    <xf numFmtId="0" fontId="10" fillId="0" borderId="10" xfId="1" applyFont="1" applyBorder="1" applyAlignment="1">
      <alignment horizontal="center"/>
    </xf>
    <xf numFmtId="0" fontId="10" fillId="0" borderId="11" xfId="1" applyFont="1" applyBorder="1" applyAlignment="1">
      <alignment horizontal="center"/>
    </xf>
    <xf numFmtId="0" fontId="10" fillId="0" borderId="12" xfId="1" applyFont="1" applyBorder="1" applyAlignment="1">
      <alignment horizontal="center"/>
    </xf>
    <xf numFmtId="178" fontId="25" fillId="0" borderId="13" xfId="1" applyNumberFormat="1" applyFont="1" applyBorder="1" applyAlignment="1">
      <alignment horizontal="right" vertical="center"/>
    </xf>
    <xf numFmtId="178" fontId="12" fillId="0" borderId="0" xfId="1" applyNumberFormat="1" applyFont="1" applyAlignment="1">
      <alignment horizontal="right" vertical="center"/>
    </xf>
    <xf numFmtId="178" fontId="12" fillId="0" borderId="13" xfId="1" applyNumberFormat="1" applyFont="1" applyBorder="1" applyAlignment="1">
      <alignment horizontal="right" vertical="center"/>
    </xf>
    <xf numFmtId="178" fontId="12" fillId="0" borderId="21" xfId="1" applyNumberFormat="1" applyFont="1" applyBorder="1" applyAlignment="1">
      <alignment horizontal="right" vertical="center"/>
    </xf>
    <xf numFmtId="178" fontId="12" fillId="0" borderId="22" xfId="1" applyNumberFormat="1" applyFont="1" applyBorder="1" applyAlignment="1">
      <alignment horizontal="right" vertical="center"/>
    </xf>
    <xf numFmtId="179" fontId="25" fillId="0" borderId="0" xfId="1" applyNumberFormat="1" applyFont="1" applyAlignment="1">
      <alignment horizontal="left" vertical="center"/>
    </xf>
    <xf numFmtId="179" fontId="12" fillId="0" borderId="0" xfId="1" applyNumberFormat="1" applyFont="1" applyAlignment="1">
      <alignment horizontal="left" vertical="center"/>
    </xf>
    <xf numFmtId="179" fontId="12" fillId="0" borderId="14" xfId="1" applyNumberFormat="1" applyFont="1" applyBorder="1" applyAlignment="1">
      <alignment horizontal="left" vertical="center"/>
    </xf>
    <xf numFmtId="179" fontId="12" fillId="0" borderId="22" xfId="1" applyNumberFormat="1" applyFont="1" applyBorder="1" applyAlignment="1">
      <alignment horizontal="left" vertical="center"/>
    </xf>
    <xf numFmtId="179" fontId="12" fillId="0" borderId="23" xfId="1" applyNumberFormat="1" applyFont="1" applyBorder="1" applyAlignment="1">
      <alignment horizontal="left" vertical="center"/>
    </xf>
    <xf numFmtId="0" fontId="1" fillId="0" borderId="13" xfId="1" applyBorder="1" applyAlignment="1">
      <alignment horizontal="center"/>
    </xf>
    <xf numFmtId="0" fontId="1" fillId="0" borderId="0" xfId="1" applyAlignment="1">
      <alignment horizontal="center"/>
    </xf>
    <xf numFmtId="0" fontId="1" fillId="0" borderId="14" xfId="1" applyBorder="1" applyAlignment="1">
      <alignment horizontal="center"/>
    </xf>
    <xf numFmtId="0" fontId="1" fillId="0" borderId="21" xfId="1" applyBorder="1" applyAlignment="1">
      <alignment horizontal="center"/>
    </xf>
    <xf numFmtId="0" fontId="1" fillId="0" borderId="22" xfId="1" applyBorder="1" applyAlignment="1">
      <alignment horizontal="center"/>
    </xf>
    <xf numFmtId="0" fontId="1" fillId="0" borderId="23" xfId="1" applyBorder="1" applyAlignment="1">
      <alignment horizontal="center"/>
    </xf>
    <xf numFmtId="0" fontId="9" fillId="0" borderId="61" xfId="1" applyFont="1" applyBorder="1" applyAlignment="1">
      <alignment horizontal="center" vertical="center"/>
    </xf>
    <xf numFmtId="0" fontId="9" fillId="0" borderId="28" xfId="1" applyFont="1" applyBorder="1" applyAlignment="1">
      <alignment horizontal="center" vertical="center"/>
    </xf>
    <xf numFmtId="0" fontId="14" fillId="0" borderId="55" xfId="1" applyFont="1" applyBorder="1" applyAlignment="1">
      <alignment vertical="center"/>
    </xf>
    <xf numFmtId="0" fontId="14" fillId="0" borderId="56" xfId="1" applyFont="1" applyBorder="1" applyAlignment="1">
      <alignment vertical="center"/>
    </xf>
    <xf numFmtId="0" fontId="5" fillId="0" borderId="3" xfId="1" applyFont="1" applyBorder="1" applyAlignment="1">
      <alignment horizontal="center" vertical="center"/>
    </xf>
    <xf numFmtId="14" fontId="5" fillId="0" borderId="3" xfId="1" applyNumberFormat="1" applyFont="1" applyBorder="1" applyAlignment="1">
      <alignment horizontal="center" vertical="center"/>
    </xf>
    <xf numFmtId="0" fontId="22" fillId="0" borderId="19" xfId="1" applyFont="1" applyBorder="1" applyAlignment="1">
      <alignment horizontal="right" vertical="center"/>
    </xf>
    <xf numFmtId="0" fontId="2" fillId="0" borderId="0" xfId="1" applyFont="1" applyAlignment="1">
      <alignment horizontal="center" vertical="center"/>
    </xf>
    <xf numFmtId="0" fontId="9" fillId="0" borderId="1" xfId="1" applyFont="1" applyBorder="1" applyAlignment="1">
      <alignment horizontal="left" vertical="center"/>
    </xf>
    <xf numFmtId="0" fontId="9" fillId="0" borderId="54" xfId="1" applyFont="1" applyBorder="1" applyAlignment="1">
      <alignment horizontal="left" vertical="center"/>
    </xf>
    <xf numFmtId="0" fontId="9" fillId="0" borderId="2" xfId="1" applyFont="1" applyBorder="1" applyAlignment="1">
      <alignment horizontal="left" vertical="center"/>
    </xf>
    <xf numFmtId="0" fontId="10" fillId="0" borderId="4" xfId="1" applyFont="1" applyBorder="1" applyAlignment="1">
      <alignment horizontal="center"/>
    </xf>
    <xf numFmtId="0" fontId="10" fillId="0" borderId="5" xfId="1" applyFont="1" applyBorder="1" applyAlignment="1">
      <alignment horizontal="center"/>
    </xf>
    <xf numFmtId="0" fontId="10" fillId="0" borderId="6" xfId="1" applyFont="1" applyBorder="1" applyAlignment="1">
      <alignment horizontal="center"/>
    </xf>
    <xf numFmtId="0" fontId="8" fillId="0" borderId="71" xfId="1" applyFont="1" applyBorder="1" applyAlignment="1">
      <alignment horizontal="right"/>
    </xf>
    <xf numFmtId="0" fontId="8" fillId="0" borderId="72" xfId="1" applyFont="1" applyBorder="1" applyAlignment="1">
      <alignment horizontal="right"/>
    </xf>
    <xf numFmtId="0" fontId="8" fillId="0" borderId="73" xfId="1" applyFont="1" applyBorder="1" applyAlignment="1">
      <alignment horizontal="right"/>
    </xf>
    <xf numFmtId="181" fontId="25" fillId="0" borderId="13" xfId="1" applyNumberFormat="1" applyFont="1" applyBorder="1" applyAlignment="1">
      <alignment horizontal="center" vertical="center"/>
    </xf>
    <xf numFmtId="181" fontId="25" fillId="0" borderId="0" xfId="1" applyNumberFormat="1" applyFont="1" applyAlignment="1">
      <alignment horizontal="center" vertical="center"/>
    </xf>
    <xf numFmtId="181" fontId="25" fillId="0" borderId="14" xfId="1" applyNumberFormat="1" applyFont="1" applyBorder="1" applyAlignment="1">
      <alignment horizontal="center" vertical="center"/>
    </xf>
    <xf numFmtId="181" fontId="25" fillId="0" borderId="21" xfId="1" applyNumberFormat="1" applyFont="1" applyBorder="1" applyAlignment="1">
      <alignment horizontal="center" vertical="center"/>
    </xf>
    <xf numFmtId="181" fontId="25" fillId="0" borderId="22" xfId="1" applyNumberFormat="1" applyFont="1" applyBorder="1" applyAlignment="1">
      <alignment horizontal="center" vertical="center"/>
    </xf>
    <xf numFmtId="181" fontId="25" fillId="0" borderId="23" xfId="1" applyNumberFormat="1" applyFont="1" applyBorder="1" applyAlignment="1">
      <alignment horizontal="center" vertical="center"/>
    </xf>
    <xf numFmtId="0" fontId="14" fillId="0" borderId="75" xfId="1" applyFont="1" applyBorder="1" applyAlignment="1">
      <alignment vertical="center"/>
    </xf>
    <xf numFmtId="0" fontId="14" fillId="0" borderId="32" xfId="1" applyFont="1" applyBorder="1" applyAlignment="1">
      <alignment vertical="center"/>
    </xf>
    <xf numFmtId="0" fontId="8" fillId="0" borderId="68" xfId="1" applyFont="1" applyBorder="1" applyAlignment="1">
      <alignment horizontal="right"/>
    </xf>
    <xf numFmtId="0" fontId="8" fillId="0" borderId="69" xfId="1" applyFont="1" applyBorder="1" applyAlignment="1">
      <alignment horizontal="right"/>
    </xf>
    <xf numFmtId="0" fontId="8" fillId="0" borderId="70" xfId="1" applyFont="1" applyBorder="1" applyAlignment="1">
      <alignment horizontal="right"/>
    </xf>
    <xf numFmtId="0" fontId="8" fillId="0" borderId="57" xfId="1" applyFont="1" applyBorder="1" applyAlignment="1">
      <alignment horizontal="left" vertical="center"/>
    </xf>
    <xf numFmtId="0" fontId="8" fillId="0" borderId="58" xfId="1" applyFont="1" applyBorder="1" applyAlignment="1">
      <alignment horizontal="left" vertical="center"/>
    </xf>
    <xf numFmtId="180" fontId="13" fillId="0" borderId="66" xfId="1" applyNumberFormat="1" applyFont="1" applyBorder="1" applyAlignment="1">
      <alignment horizontal="center" vertical="center"/>
    </xf>
    <xf numFmtId="180" fontId="13" fillId="0" borderId="67" xfId="1" applyNumberFormat="1" applyFont="1" applyBorder="1" applyAlignment="1">
      <alignment horizontal="center" vertical="center"/>
    </xf>
    <xf numFmtId="180" fontId="13" fillId="0" borderId="74" xfId="1" applyNumberFormat="1" applyFont="1" applyBorder="1" applyAlignment="1">
      <alignment horizontal="center" vertical="center"/>
    </xf>
  </cellXfs>
  <cellStyles count="2">
    <cellStyle name="標準" xfId="0" builtinId="0"/>
    <cellStyle name="標準_設備点検表書式" xfId="1" xr:uid="{15F629F0-A893-4DD8-8A94-9D447F97F79C}"/>
  </cellStyles>
  <dxfs count="3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strike val="0"/>
        <color theme="1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EB1D4-5430-4125-92FD-1CBC3FF0E12C}">
  <sheetPr>
    <pageSetUpPr fitToPage="1"/>
  </sheetPr>
  <dimension ref="A1:IT45"/>
  <sheetViews>
    <sheetView tabSelected="1" topLeftCell="A9" zoomScale="70" zoomScaleNormal="70" workbookViewId="0">
      <selection activeCell="D34" sqref="D34"/>
    </sheetView>
  </sheetViews>
  <sheetFormatPr defaultRowHeight="18"/>
  <cols>
    <col min="2" max="2" width="29.9140625" customWidth="1"/>
    <col min="3" max="3" width="5.5" customWidth="1"/>
    <col min="4" max="4" width="17" customWidth="1"/>
    <col min="5" max="5" width="24.4140625" hidden="1" customWidth="1"/>
    <col min="7" max="37" width="5.4140625" customWidth="1"/>
  </cols>
  <sheetData>
    <row r="1" spans="1:254" s="2" customFormat="1" ht="30" customHeight="1" thickBot="1">
      <c r="A1" s="153" t="s">
        <v>26</v>
      </c>
      <c r="B1" s="153"/>
      <c r="C1" s="90"/>
      <c r="F1" s="154" t="s">
        <v>30</v>
      </c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  <c r="AG1" s="154"/>
      <c r="AH1" s="154"/>
      <c r="AI1" s="154"/>
      <c r="AJ1" s="154"/>
      <c r="AK1" s="154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  <c r="IP1" s="3"/>
      <c r="IQ1" s="3"/>
      <c r="IR1" s="3"/>
      <c r="IS1" s="3"/>
      <c r="IT1" s="3"/>
    </row>
    <row r="2" spans="1:254" s="2" customFormat="1" ht="15.65" customHeight="1" thickTop="1" thickBot="1">
      <c r="A2" s="4"/>
      <c r="B2" s="1"/>
      <c r="C2" s="1"/>
      <c r="D2" s="5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  <c r="IP2" s="3"/>
      <c r="IQ2" s="3"/>
      <c r="IR2" s="3"/>
      <c r="IS2" s="3"/>
      <c r="IT2" s="3"/>
    </row>
    <row r="3" spans="1:254" s="2" customFormat="1" ht="20" customHeight="1" thickBot="1">
      <c r="A3" s="155" t="s">
        <v>51</v>
      </c>
      <c r="B3" s="156"/>
      <c r="C3" s="156"/>
      <c r="D3" s="157"/>
      <c r="E3" s="99"/>
      <c r="G3" s="51"/>
      <c r="H3" s="67" t="s">
        <v>21</v>
      </c>
      <c r="K3" s="151" t="s">
        <v>0</v>
      </c>
      <c r="L3" s="151"/>
      <c r="M3" s="151" t="s">
        <v>1</v>
      </c>
      <c r="N3" s="151"/>
      <c r="O3" s="151"/>
      <c r="P3" s="151" t="s">
        <v>2</v>
      </c>
      <c r="Q3" s="151"/>
      <c r="R3" s="151"/>
      <c r="S3" s="3"/>
      <c r="T3" s="158" t="s">
        <v>3</v>
      </c>
      <c r="U3" s="159"/>
      <c r="V3" s="159"/>
      <c r="W3" s="159"/>
      <c r="X3" s="159"/>
      <c r="Y3" s="159"/>
      <c r="Z3" s="159"/>
      <c r="AA3" s="159"/>
      <c r="AB3" s="159"/>
      <c r="AC3" s="159"/>
      <c r="AD3" s="159"/>
      <c r="AE3" s="159"/>
      <c r="AF3" s="159"/>
      <c r="AG3" s="159"/>
      <c r="AH3" s="159"/>
      <c r="AI3" s="159"/>
      <c r="AJ3" s="159"/>
      <c r="AK3" s="160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  <c r="IP3" s="3"/>
      <c r="IQ3" s="3"/>
      <c r="IR3" s="3"/>
      <c r="IS3" s="3"/>
      <c r="IT3" s="3"/>
    </row>
    <row r="4" spans="1:254" s="2" customFormat="1" ht="20" customHeight="1">
      <c r="A4" s="7" t="s">
        <v>52</v>
      </c>
      <c r="B4" s="8"/>
      <c r="C4" s="8"/>
      <c r="D4" s="9"/>
      <c r="E4" s="6"/>
      <c r="G4" s="51"/>
      <c r="H4" s="67" t="s">
        <v>22</v>
      </c>
      <c r="K4" s="151" t="s">
        <v>4</v>
      </c>
      <c r="L4" s="151"/>
      <c r="M4" s="152">
        <v>46113</v>
      </c>
      <c r="N4" s="152"/>
      <c r="O4" s="152"/>
      <c r="P4" s="151" t="s">
        <v>50</v>
      </c>
      <c r="Q4" s="151"/>
      <c r="R4" s="151"/>
      <c r="S4" s="3"/>
      <c r="T4" s="128" t="s">
        <v>5</v>
      </c>
      <c r="U4" s="129"/>
      <c r="V4" s="129"/>
      <c r="W4" s="129"/>
      <c r="X4" s="129"/>
      <c r="Y4" s="130"/>
      <c r="Z4" s="128" t="s">
        <v>6</v>
      </c>
      <c r="AA4" s="129"/>
      <c r="AB4" s="129"/>
      <c r="AC4" s="130"/>
      <c r="AD4" s="128" t="s">
        <v>7</v>
      </c>
      <c r="AE4" s="129"/>
      <c r="AF4" s="129"/>
      <c r="AG4" s="130"/>
      <c r="AH4" s="128" t="s">
        <v>8</v>
      </c>
      <c r="AI4" s="129"/>
      <c r="AJ4" s="129"/>
      <c r="AK4" s="130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  <c r="IP4" s="3"/>
      <c r="IQ4" s="3"/>
      <c r="IR4" s="3"/>
      <c r="IS4" s="3"/>
      <c r="IT4" s="3"/>
    </row>
    <row r="5" spans="1:254" s="2" customFormat="1" ht="12" customHeight="1" thickBot="1">
      <c r="A5" s="10"/>
      <c r="B5" s="1"/>
      <c r="C5" s="1"/>
      <c r="D5" s="6"/>
      <c r="E5" s="6"/>
      <c r="G5" s="51"/>
      <c r="H5" s="67" t="s">
        <v>23</v>
      </c>
      <c r="S5" s="3"/>
      <c r="T5" s="131" t="s">
        <v>64</v>
      </c>
      <c r="U5" s="132"/>
      <c r="V5" s="132"/>
      <c r="W5" s="136" t="s">
        <v>124</v>
      </c>
      <c r="X5" s="137"/>
      <c r="Y5" s="138"/>
      <c r="Z5" s="11"/>
      <c r="AA5" s="3"/>
      <c r="AB5" s="3"/>
      <c r="AC5" s="12"/>
      <c r="AD5" s="11"/>
      <c r="AE5" s="3"/>
      <c r="AF5" s="3"/>
      <c r="AG5" s="12"/>
      <c r="AH5" s="141"/>
      <c r="AI5" s="142"/>
      <c r="AJ5" s="142"/>
      <c r="AK5" s="14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  <c r="IP5" s="3"/>
      <c r="IQ5" s="3"/>
      <c r="IR5" s="3"/>
      <c r="IS5" s="3"/>
      <c r="IT5" s="3"/>
    </row>
    <row r="6" spans="1:254" s="2" customFormat="1" ht="18.75" customHeight="1" thickTop="1">
      <c r="A6" s="13" t="s">
        <v>123</v>
      </c>
      <c r="B6" s="14"/>
      <c r="C6" s="14"/>
      <c r="D6" s="15"/>
      <c r="E6" s="15"/>
      <c r="F6" s="16"/>
      <c r="G6" s="51"/>
      <c r="H6" s="67" t="s">
        <v>24</v>
      </c>
      <c r="R6" s="3"/>
      <c r="S6" s="3"/>
      <c r="T6" s="133"/>
      <c r="U6" s="132"/>
      <c r="V6" s="132"/>
      <c r="W6" s="137"/>
      <c r="X6" s="137"/>
      <c r="Y6" s="138"/>
      <c r="Z6" s="11"/>
      <c r="AA6" s="3"/>
      <c r="AB6" s="3"/>
      <c r="AC6" s="12"/>
      <c r="AD6" s="11"/>
      <c r="AE6" s="3"/>
      <c r="AF6" s="3"/>
      <c r="AG6" s="12"/>
      <c r="AH6" s="141"/>
      <c r="AI6" s="142"/>
      <c r="AJ6" s="142"/>
      <c r="AK6" s="14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  <c r="IP6" s="3"/>
      <c r="IQ6" s="3"/>
      <c r="IR6" s="3"/>
      <c r="IS6" s="3"/>
      <c r="IT6" s="3"/>
    </row>
    <row r="7" spans="1:254" s="2" customFormat="1" ht="18.75" customHeight="1" thickBot="1">
      <c r="A7" s="17" t="s">
        <v>9</v>
      </c>
      <c r="B7" s="18"/>
      <c r="C7" s="18"/>
      <c r="D7" s="19"/>
      <c r="E7" s="19"/>
      <c r="F7" s="20"/>
      <c r="G7" s="51"/>
      <c r="H7" s="67" t="s">
        <v>25</v>
      </c>
      <c r="R7" s="3"/>
      <c r="S7" s="3"/>
      <c r="T7" s="134"/>
      <c r="U7" s="135"/>
      <c r="V7" s="135"/>
      <c r="W7" s="139"/>
      <c r="X7" s="139"/>
      <c r="Y7" s="140"/>
      <c r="Z7" s="21"/>
      <c r="AA7" s="22"/>
      <c r="AB7" s="22"/>
      <c r="AC7" s="23"/>
      <c r="AD7" s="21"/>
      <c r="AE7" s="22"/>
      <c r="AF7" s="22"/>
      <c r="AG7" s="23"/>
      <c r="AH7" s="144"/>
      <c r="AI7" s="145"/>
      <c r="AJ7" s="145"/>
      <c r="AK7" s="146"/>
      <c r="AL7" s="91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  <c r="IP7" s="3"/>
      <c r="IQ7" s="3"/>
      <c r="IR7" s="3"/>
      <c r="IS7" s="3"/>
      <c r="IT7" s="3"/>
    </row>
    <row r="8" spans="1:254" s="2" customFormat="1" ht="20" customHeight="1" thickTop="1" thickBot="1">
      <c r="A8" s="6"/>
      <c r="B8" s="6"/>
      <c r="C8" s="6"/>
      <c r="D8" s="6"/>
      <c r="E8" s="6"/>
      <c r="F8" s="6"/>
      <c r="G8" s="111" t="s">
        <v>125</v>
      </c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 t="str">
        <f t="shared" ref="U8:AK8" si="0">IF(DAY(U9)=1,U9,"")</f>
        <v/>
      </c>
      <c r="V8" s="24" t="str">
        <f t="shared" si="0"/>
        <v/>
      </c>
      <c r="W8" s="24" t="str">
        <f t="shared" si="0"/>
        <v/>
      </c>
      <c r="X8" s="24" t="str">
        <f t="shared" si="0"/>
        <v/>
      </c>
      <c r="Y8" s="24" t="str">
        <f t="shared" si="0"/>
        <v/>
      </c>
      <c r="Z8" s="24" t="str">
        <f t="shared" si="0"/>
        <v/>
      </c>
      <c r="AA8" s="24" t="str">
        <f t="shared" si="0"/>
        <v/>
      </c>
      <c r="AB8" s="24" t="str">
        <f t="shared" si="0"/>
        <v/>
      </c>
      <c r="AC8" s="24" t="str">
        <f t="shared" si="0"/>
        <v/>
      </c>
      <c r="AD8" s="24" t="str">
        <f t="shared" si="0"/>
        <v/>
      </c>
      <c r="AE8" s="24" t="str">
        <f t="shared" si="0"/>
        <v/>
      </c>
      <c r="AF8" s="24" t="str">
        <f t="shared" si="0"/>
        <v/>
      </c>
      <c r="AG8" s="24" t="str">
        <f t="shared" si="0"/>
        <v/>
      </c>
      <c r="AH8" s="103" t="str">
        <f t="shared" si="0"/>
        <v/>
      </c>
      <c r="AI8" s="103" t="str">
        <f t="shared" si="0"/>
        <v/>
      </c>
      <c r="AJ8" s="103" t="str">
        <f t="shared" si="0"/>
        <v/>
      </c>
      <c r="AK8" s="103" t="str">
        <f t="shared" si="0"/>
        <v/>
      </c>
      <c r="AL8" s="92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  <c r="IP8" s="3"/>
      <c r="IQ8" s="3"/>
      <c r="IR8" s="3"/>
      <c r="IS8" s="3"/>
      <c r="IT8" s="3"/>
    </row>
    <row r="9" spans="1:254" s="2" customFormat="1" ht="23" customHeight="1">
      <c r="A9" s="25"/>
      <c r="B9" s="26" t="s">
        <v>10</v>
      </c>
      <c r="C9" s="26"/>
      <c r="D9" s="27" t="s">
        <v>11</v>
      </c>
      <c r="E9" s="27" t="s">
        <v>48</v>
      </c>
      <c r="F9" s="28" t="s">
        <v>126</v>
      </c>
      <c r="G9" s="102">
        <f>DATE($T$5,$W$5,1)</f>
        <v>46235</v>
      </c>
      <c r="H9" s="102">
        <f>DATE($T$5,$W$5,2)</f>
        <v>46236</v>
      </c>
      <c r="I9" s="102">
        <f>DATE($T$5,$W$5,3)</f>
        <v>46237</v>
      </c>
      <c r="J9" s="102">
        <f t="shared" ref="J9:AK9" si="1">I9+1</f>
        <v>46238</v>
      </c>
      <c r="K9" s="102">
        <f t="shared" si="1"/>
        <v>46239</v>
      </c>
      <c r="L9" s="102">
        <f t="shared" si="1"/>
        <v>46240</v>
      </c>
      <c r="M9" s="102">
        <f t="shared" si="1"/>
        <v>46241</v>
      </c>
      <c r="N9" s="102">
        <f t="shared" si="1"/>
        <v>46242</v>
      </c>
      <c r="O9" s="102">
        <f t="shared" si="1"/>
        <v>46243</v>
      </c>
      <c r="P9" s="102">
        <f t="shared" si="1"/>
        <v>46244</v>
      </c>
      <c r="Q9" s="102">
        <f t="shared" si="1"/>
        <v>46245</v>
      </c>
      <c r="R9" s="102">
        <f t="shared" si="1"/>
        <v>46246</v>
      </c>
      <c r="S9" s="102">
        <f t="shared" si="1"/>
        <v>46247</v>
      </c>
      <c r="T9" s="102">
        <f t="shared" si="1"/>
        <v>46248</v>
      </c>
      <c r="U9" s="102">
        <f t="shared" si="1"/>
        <v>46249</v>
      </c>
      <c r="V9" s="102">
        <f t="shared" si="1"/>
        <v>46250</v>
      </c>
      <c r="W9" s="102">
        <f t="shared" si="1"/>
        <v>46251</v>
      </c>
      <c r="X9" s="102">
        <f t="shared" si="1"/>
        <v>46252</v>
      </c>
      <c r="Y9" s="102">
        <f t="shared" si="1"/>
        <v>46253</v>
      </c>
      <c r="Z9" s="102">
        <f t="shared" si="1"/>
        <v>46254</v>
      </c>
      <c r="AA9" s="102">
        <f t="shared" si="1"/>
        <v>46255</v>
      </c>
      <c r="AB9" s="102">
        <f t="shared" si="1"/>
        <v>46256</v>
      </c>
      <c r="AC9" s="102">
        <f t="shared" si="1"/>
        <v>46257</v>
      </c>
      <c r="AD9" s="102">
        <f t="shared" si="1"/>
        <v>46258</v>
      </c>
      <c r="AE9" s="102">
        <f t="shared" si="1"/>
        <v>46259</v>
      </c>
      <c r="AF9" s="102">
        <f t="shared" si="1"/>
        <v>46260</v>
      </c>
      <c r="AG9" s="102">
        <f t="shared" si="1"/>
        <v>46261</v>
      </c>
      <c r="AH9" s="102">
        <f t="shared" si="1"/>
        <v>46262</v>
      </c>
      <c r="AI9" s="102">
        <f t="shared" si="1"/>
        <v>46263</v>
      </c>
      <c r="AJ9" s="102">
        <f t="shared" si="1"/>
        <v>46264</v>
      </c>
      <c r="AK9" s="102">
        <f t="shared" si="1"/>
        <v>46265</v>
      </c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  <c r="IP9" s="3"/>
      <c r="IQ9" s="3"/>
      <c r="IR9" s="3"/>
      <c r="IS9" s="3"/>
      <c r="IT9" s="3"/>
    </row>
    <row r="10" spans="1:254" s="2" customFormat="1" ht="23" customHeight="1">
      <c r="A10" s="29"/>
      <c r="B10" s="147"/>
      <c r="C10" s="148"/>
      <c r="D10" s="30"/>
      <c r="E10" s="30"/>
      <c r="F10" s="31" t="s">
        <v>127</v>
      </c>
      <c r="G10" s="32" t="str">
        <f>TEXT(G9,"aaa")</f>
        <v>土</v>
      </c>
      <c r="H10" s="32" t="str">
        <f>TEXT(H9,"aaa")</f>
        <v>日</v>
      </c>
      <c r="I10" s="32" t="str">
        <f t="shared" ref="I10:AK10" si="2">TEXT(I9,"aaa")</f>
        <v>月</v>
      </c>
      <c r="J10" s="32" t="str">
        <f t="shared" si="2"/>
        <v>火</v>
      </c>
      <c r="K10" s="32" t="str">
        <f t="shared" si="2"/>
        <v>水</v>
      </c>
      <c r="L10" s="32" t="str">
        <f t="shared" si="2"/>
        <v>木</v>
      </c>
      <c r="M10" s="32" t="str">
        <f t="shared" si="2"/>
        <v>金</v>
      </c>
      <c r="N10" s="32" t="str">
        <f t="shared" si="2"/>
        <v>土</v>
      </c>
      <c r="O10" s="32" t="str">
        <f t="shared" si="2"/>
        <v>日</v>
      </c>
      <c r="P10" s="32" t="str">
        <f t="shared" si="2"/>
        <v>月</v>
      </c>
      <c r="Q10" s="32" t="str">
        <f t="shared" si="2"/>
        <v>火</v>
      </c>
      <c r="R10" s="32" t="str">
        <f t="shared" si="2"/>
        <v>水</v>
      </c>
      <c r="S10" s="32" t="str">
        <f t="shared" si="2"/>
        <v>木</v>
      </c>
      <c r="T10" s="32" t="str">
        <f t="shared" si="2"/>
        <v>金</v>
      </c>
      <c r="U10" s="32" t="str">
        <f t="shared" si="2"/>
        <v>土</v>
      </c>
      <c r="V10" s="32" t="str">
        <f t="shared" si="2"/>
        <v>日</v>
      </c>
      <c r="W10" s="32" t="str">
        <f t="shared" si="2"/>
        <v>月</v>
      </c>
      <c r="X10" s="32" t="str">
        <f t="shared" si="2"/>
        <v>火</v>
      </c>
      <c r="Y10" s="32" t="str">
        <f t="shared" si="2"/>
        <v>水</v>
      </c>
      <c r="Z10" s="32" t="str">
        <f t="shared" si="2"/>
        <v>木</v>
      </c>
      <c r="AA10" s="32" t="str">
        <f t="shared" si="2"/>
        <v>金</v>
      </c>
      <c r="AB10" s="32" t="str">
        <f t="shared" si="2"/>
        <v>土</v>
      </c>
      <c r="AC10" s="32" t="str">
        <f t="shared" si="2"/>
        <v>日</v>
      </c>
      <c r="AD10" s="32" t="str">
        <f t="shared" si="2"/>
        <v>月</v>
      </c>
      <c r="AE10" s="32" t="str">
        <f t="shared" si="2"/>
        <v>火</v>
      </c>
      <c r="AF10" s="32" t="str">
        <f t="shared" si="2"/>
        <v>水</v>
      </c>
      <c r="AG10" s="32" t="str">
        <f t="shared" si="2"/>
        <v>木</v>
      </c>
      <c r="AH10" s="32" t="str">
        <f t="shared" si="2"/>
        <v>金</v>
      </c>
      <c r="AI10" s="32" t="str">
        <f t="shared" si="2"/>
        <v>土</v>
      </c>
      <c r="AJ10" s="32" t="str">
        <f t="shared" si="2"/>
        <v>日</v>
      </c>
      <c r="AK10" s="33" t="str">
        <f t="shared" si="2"/>
        <v>月</v>
      </c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  <c r="IP10" s="3"/>
      <c r="IQ10" s="3"/>
      <c r="IR10" s="3"/>
      <c r="IS10" s="3"/>
      <c r="IT10" s="3"/>
    </row>
    <row r="11" spans="1:254" s="2" customFormat="1" ht="23" customHeight="1">
      <c r="A11" s="34"/>
      <c r="B11" s="149" t="s">
        <v>12</v>
      </c>
      <c r="C11" s="150"/>
      <c r="D11" s="35"/>
      <c r="E11" s="35"/>
      <c r="F11" s="110" t="s">
        <v>122</v>
      </c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  <c r="AA11" s="68"/>
      <c r="AB11" s="68"/>
      <c r="AC11" s="68"/>
      <c r="AD11" s="68"/>
      <c r="AE11" s="68"/>
      <c r="AF11" s="68"/>
      <c r="AG11" s="68"/>
      <c r="AH11" s="68"/>
      <c r="AI11" s="68"/>
      <c r="AJ11" s="68"/>
      <c r="AK11" s="69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</row>
    <row r="12" spans="1:254" s="2" customFormat="1" ht="23" customHeight="1">
      <c r="A12" s="106">
        <v>1</v>
      </c>
      <c r="B12" s="112" t="s">
        <v>119</v>
      </c>
      <c r="C12" s="113"/>
      <c r="D12" s="97" t="s">
        <v>99</v>
      </c>
      <c r="E12" s="97" t="s">
        <v>42</v>
      </c>
      <c r="F12" s="116" t="s">
        <v>13</v>
      </c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  <c r="AA12" s="70"/>
      <c r="AB12" s="70"/>
      <c r="AC12" s="70"/>
      <c r="AD12" s="70"/>
      <c r="AE12" s="70"/>
      <c r="AF12" s="70"/>
      <c r="AG12" s="70"/>
      <c r="AH12" s="70"/>
      <c r="AI12" s="70"/>
      <c r="AJ12" s="70"/>
      <c r="AK12" s="71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</row>
    <row r="13" spans="1:254" s="2" customFormat="1" ht="23" customHeight="1">
      <c r="A13" s="106">
        <v>2</v>
      </c>
      <c r="B13" s="112" t="s">
        <v>101</v>
      </c>
      <c r="C13" s="113"/>
      <c r="D13" s="97" t="s">
        <v>99</v>
      </c>
      <c r="E13" s="97"/>
      <c r="F13" s="117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0"/>
      <c r="AH13" s="70"/>
      <c r="AI13" s="70"/>
      <c r="AJ13" s="70"/>
      <c r="AK13" s="71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</row>
    <row r="14" spans="1:254" s="2" customFormat="1" ht="23" customHeight="1">
      <c r="A14" s="106">
        <v>3</v>
      </c>
      <c r="B14" s="112" t="s">
        <v>131</v>
      </c>
      <c r="C14" s="113"/>
      <c r="D14" s="97" t="s">
        <v>99</v>
      </c>
      <c r="E14" s="97" t="s">
        <v>43</v>
      </c>
      <c r="F14" s="117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  <c r="AA14" s="70"/>
      <c r="AB14" s="70"/>
      <c r="AC14" s="70"/>
      <c r="AD14" s="70"/>
      <c r="AE14" s="70"/>
      <c r="AF14" s="70"/>
      <c r="AG14" s="70"/>
      <c r="AH14" s="70"/>
      <c r="AI14" s="70"/>
      <c r="AJ14" s="70"/>
      <c r="AK14" s="71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</row>
    <row r="15" spans="1:254" s="2" customFormat="1" ht="23" customHeight="1">
      <c r="A15" s="106">
        <v>4</v>
      </c>
      <c r="B15" s="112" t="s">
        <v>132</v>
      </c>
      <c r="C15" s="113"/>
      <c r="D15" s="97" t="s">
        <v>99</v>
      </c>
      <c r="E15" s="97" t="s">
        <v>43</v>
      </c>
      <c r="F15" s="117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1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</row>
    <row r="16" spans="1:254" s="2" customFormat="1" ht="23" customHeight="1">
      <c r="A16" s="106">
        <v>5</v>
      </c>
      <c r="B16" s="112" t="s">
        <v>31</v>
      </c>
      <c r="C16" s="113"/>
      <c r="D16" s="97" t="s">
        <v>134</v>
      </c>
      <c r="E16" s="97" t="s">
        <v>44</v>
      </c>
      <c r="F16" s="117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1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</row>
    <row r="17" spans="1:254" s="2" customFormat="1" ht="23" customHeight="1">
      <c r="A17" s="106">
        <v>6</v>
      </c>
      <c r="B17" s="112" t="s">
        <v>135</v>
      </c>
      <c r="C17" s="113"/>
      <c r="D17" s="97" t="s">
        <v>99</v>
      </c>
      <c r="E17" s="97" t="s">
        <v>45</v>
      </c>
      <c r="F17" s="117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1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</row>
    <row r="18" spans="1:254" s="2" customFormat="1" ht="23" customHeight="1">
      <c r="A18" s="106">
        <v>7</v>
      </c>
      <c r="B18" s="112" t="s">
        <v>32</v>
      </c>
      <c r="C18" s="113"/>
      <c r="D18" s="97" t="s">
        <v>99</v>
      </c>
      <c r="E18" s="97" t="s">
        <v>41</v>
      </c>
      <c r="F18" s="117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1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</row>
    <row r="19" spans="1:254" s="2" customFormat="1" ht="23" customHeight="1">
      <c r="A19" s="106">
        <v>8</v>
      </c>
      <c r="B19" s="112" t="s">
        <v>33</v>
      </c>
      <c r="C19" s="113"/>
      <c r="D19" s="97" t="s">
        <v>99</v>
      </c>
      <c r="E19" s="97" t="s">
        <v>40</v>
      </c>
      <c r="F19" s="117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  <c r="AA19" s="70"/>
      <c r="AB19" s="70"/>
      <c r="AC19" s="70"/>
      <c r="AD19" s="70"/>
      <c r="AE19" s="70"/>
      <c r="AF19" s="70"/>
      <c r="AG19" s="70"/>
      <c r="AH19" s="70"/>
      <c r="AI19" s="70"/>
      <c r="AJ19" s="70"/>
      <c r="AK19" s="71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</row>
    <row r="20" spans="1:254" s="2" customFormat="1" ht="23" customHeight="1">
      <c r="A20" s="106">
        <v>9</v>
      </c>
      <c r="B20" s="112" t="s">
        <v>34</v>
      </c>
      <c r="C20" s="113"/>
      <c r="D20" s="97" t="s">
        <v>99</v>
      </c>
      <c r="E20" s="97" t="s">
        <v>46</v>
      </c>
      <c r="F20" s="117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  <c r="AK20" s="71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  <c r="IP20" s="3"/>
      <c r="IQ20" s="3"/>
      <c r="IR20" s="3"/>
      <c r="IS20" s="3"/>
      <c r="IT20" s="3"/>
    </row>
    <row r="21" spans="1:254" s="2" customFormat="1" ht="23" customHeight="1">
      <c r="A21" s="106">
        <v>10</v>
      </c>
      <c r="B21" s="112" t="s">
        <v>35</v>
      </c>
      <c r="C21" s="113"/>
      <c r="D21" s="97" t="s">
        <v>100</v>
      </c>
      <c r="E21" s="97"/>
      <c r="F21" s="117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  <c r="AA21" s="70"/>
      <c r="AB21" s="70"/>
      <c r="AC21" s="70"/>
      <c r="AD21" s="70"/>
      <c r="AE21" s="70"/>
      <c r="AF21" s="70"/>
      <c r="AG21" s="70"/>
      <c r="AH21" s="70"/>
      <c r="AI21" s="70"/>
      <c r="AJ21" s="70"/>
      <c r="AK21" s="71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  <c r="IP21" s="3"/>
      <c r="IQ21" s="3"/>
      <c r="IR21" s="3"/>
      <c r="IS21" s="3"/>
      <c r="IT21" s="3"/>
    </row>
    <row r="22" spans="1:254" s="2" customFormat="1" ht="23" customHeight="1">
      <c r="A22" s="106">
        <v>11</v>
      </c>
      <c r="B22" s="112" t="s">
        <v>37</v>
      </c>
      <c r="C22" s="113"/>
      <c r="D22" s="97" t="s">
        <v>38</v>
      </c>
      <c r="E22" s="97"/>
      <c r="F22" s="117" t="s">
        <v>136</v>
      </c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A22" s="70"/>
      <c r="AB22" s="70"/>
      <c r="AC22" s="70"/>
      <c r="AD22" s="70"/>
      <c r="AE22" s="70"/>
      <c r="AF22" s="70"/>
      <c r="AG22" s="70"/>
      <c r="AH22" s="70"/>
      <c r="AI22" s="70"/>
      <c r="AJ22" s="70"/>
      <c r="AK22" s="71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  <c r="IP22" s="3"/>
      <c r="IQ22" s="3"/>
      <c r="IR22" s="3"/>
      <c r="IS22" s="3"/>
      <c r="IT22" s="3"/>
    </row>
    <row r="23" spans="1:254" s="2" customFormat="1" ht="23" customHeight="1">
      <c r="A23" s="106">
        <v>13</v>
      </c>
      <c r="B23" s="112" t="s">
        <v>133</v>
      </c>
      <c r="C23" s="113"/>
      <c r="D23" s="97" t="s">
        <v>99</v>
      </c>
      <c r="E23" s="97" t="s">
        <v>47</v>
      </c>
      <c r="F23" s="127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  <c r="AA23" s="68"/>
      <c r="AB23" s="68"/>
      <c r="AC23" s="68"/>
      <c r="AD23" s="68"/>
      <c r="AE23" s="68"/>
      <c r="AF23" s="68"/>
      <c r="AG23" s="68"/>
      <c r="AH23" s="68"/>
      <c r="AI23" s="68"/>
      <c r="AJ23" s="68"/>
      <c r="AK23" s="69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  <c r="IP23" s="3"/>
      <c r="IQ23" s="3"/>
      <c r="IR23" s="3"/>
      <c r="IS23" s="3"/>
      <c r="IT23" s="3"/>
    </row>
    <row r="24" spans="1:254" s="2" customFormat="1" ht="23" customHeight="1">
      <c r="A24" s="106">
        <v>12</v>
      </c>
      <c r="B24" s="112" t="s">
        <v>36</v>
      </c>
      <c r="C24" s="113"/>
      <c r="D24" s="97" t="s">
        <v>49</v>
      </c>
      <c r="E24" s="97" t="s">
        <v>47</v>
      </c>
      <c r="F24" s="98" t="s">
        <v>39</v>
      </c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9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  <c r="IP24" s="3"/>
      <c r="IQ24" s="3"/>
      <c r="IR24" s="3"/>
      <c r="IS24" s="3"/>
      <c r="IT24" s="3"/>
    </row>
    <row r="25" spans="1:254" s="2" customFormat="1" ht="10" customHeight="1">
      <c r="A25" s="37"/>
      <c r="B25" s="112"/>
      <c r="C25" s="113"/>
      <c r="D25" s="97"/>
      <c r="E25" s="97"/>
      <c r="F25" s="36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  <c r="AA25" s="68"/>
      <c r="AB25" s="68"/>
      <c r="AC25" s="68"/>
      <c r="AD25" s="68"/>
      <c r="AE25" s="68"/>
      <c r="AF25" s="68"/>
      <c r="AG25" s="68"/>
      <c r="AH25" s="68"/>
      <c r="AI25" s="68"/>
      <c r="AJ25" s="68"/>
      <c r="AK25" s="69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  <c r="IP25" s="3"/>
      <c r="IQ25" s="3"/>
      <c r="IR25" s="3"/>
      <c r="IS25" s="3"/>
      <c r="IT25" s="3"/>
    </row>
    <row r="26" spans="1:254" s="2" customFormat="1" ht="28.25" customHeight="1">
      <c r="A26" s="38"/>
      <c r="B26" s="125" t="s">
        <v>14</v>
      </c>
      <c r="C26" s="126"/>
      <c r="D26" s="35"/>
      <c r="E26" s="35"/>
      <c r="F26" s="39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9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  <c r="IP26" s="3"/>
      <c r="IQ26" s="3"/>
      <c r="IR26" s="3"/>
      <c r="IS26" s="3"/>
      <c r="IT26" s="3"/>
    </row>
    <row r="27" spans="1:254" s="2" customFormat="1" ht="23" customHeight="1">
      <c r="A27" s="37">
        <v>1</v>
      </c>
      <c r="B27" s="114" t="s">
        <v>53</v>
      </c>
      <c r="C27" s="115"/>
      <c r="D27" s="97" t="s">
        <v>99</v>
      </c>
      <c r="E27" s="97" t="s">
        <v>61</v>
      </c>
      <c r="F27" s="116" t="s">
        <v>15</v>
      </c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  <c r="AA27" s="70"/>
      <c r="AB27" s="70"/>
      <c r="AC27" s="70"/>
      <c r="AD27" s="70"/>
      <c r="AE27" s="70"/>
      <c r="AF27" s="70"/>
      <c r="AG27" s="70"/>
      <c r="AH27" s="70"/>
      <c r="AI27" s="70"/>
      <c r="AJ27" s="70"/>
      <c r="AK27" s="71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  <c r="IP27" s="3"/>
      <c r="IQ27" s="3"/>
      <c r="IR27" s="3"/>
      <c r="IS27" s="3"/>
      <c r="IT27" s="3"/>
    </row>
    <row r="28" spans="1:254" s="2" customFormat="1" ht="23" customHeight="1">
      <c r="A28" s="37">
        <v>2</v>
      </c>
      <c r="B28" s="114" t="s">
        <v>102</v>
      </c>
      <c r="C28" s="115"/>
      <c r="D28" s="35" t="s">
        <v>77</v>
      </c>
      <c r="E28" s="35"/>
      <c r="F28" s="117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  <c r="AA28" s="70"/>
      <c r="AB28" s="70"/>
      <c r="AC28" s="70"/>
      <c r="AD28" s="70"/>
      <c r="AE28" s="70"/>
      <c r="AF28" s="70"/>
      <c r="AG28" s="70"/>
      <c r="AH28" s="70"/>
      <c r="AI28" s="70"/>
      <c r="AJ28" s="70"/>
      <c r="AK28" s="71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  <c r="IP28" s="3"/>
      <c r="IQ28" s="3"/>
      <c r="IR28" s="3"/>
      <c r="IS28" s="3"/>
      <c r="IT28" s="3"/>
    </row>
    <row r="29" spans="1:254" s="2" customFormat="1" ht="23" customHeight="1">
      <c r="A29" s="37">
        <v>3</v>
      </c>
      <c r="B29" s="112" t="s">
        <v>56</v>
      </c>
      <c r="C29" s="113"/>
      <c r="D29" s="35" t="s">
        <v>77</v>
      </c>
      <c r="E29" s="35"/>
      <c r="F29" s="117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  <c r="AA29" s="70"/>
      <c r="AB29" s="70"/>
      <c r="AC29" s="70"/>
      <c r="AD29" s="70"/>
      <c r="AE29" s="70"/>
      <c r="AF29" s="70"/>
      <c r="AG29" s="70"/>
      <c r="AH29" s="70"/>
      <c r="AI29" s="70"/>
      <c r="AJ29" s="70"/>
      <c r="AK29" s="72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  <c r="IP29" s="3"/>
      <c r="IQ29" s="3"/>
      <c r="IR29" s="3"/>
      <c r="IS29" s="3"/>
      <c r="IT29" s="3"/>
    </row>
    <row r="30" spans="1:254" s="2" customFormat="1" ht="23" customHeight="1">
      <c r="A30" s="37">
        <v>4</v>
      </c>
      <c r="B30" s="112" t="s">
        <v>54</v>
      </c>
      <c r="C30" s="113"/>
      <c r="D30" s="101" t="s">
        <v>103</v>
      </c>
      <c r="E30" s="97" t="s">
        <v>62</v>
      </c>
      <c r="F30" s="117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9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  <c r="IP30" s="3"/>
      <c r="IQ30" s="3"/>
      <c r="IR30" s="3"/>
      <c r="IS30" s="3"/>
      <c r="IT30" s="3"/>
    </row>
    <row r="31" spans="1:254" s="2" customFormat="1" ht="23" customHeight="1">
      <c r="A31" s="37">
        <v>5</v>
      </c>
      <c r="B31" s="114" t="s">
        <v>55</v>
      </c>
      <c r="C31" s="115"/>
      <c r="D31" s="97" t="s">
        <v>80</v>
      </c>
      <c r="E31" s="35"/>
      <c r="F31" s="117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9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  <c r="IP31" s="3"/>
      <c r="IQ31" s="3"/>
      <c r="IR31" s="3"/>
      <c r="IS31" s="3"/>
      <c r="IT31" s="3"/>
    </row>
    <row r="32" spans="1:254" s="2" customFormat="1" ht="23" customHeight="1">
      <c r="A32" s="37">
        <v>6</v>
      </c>
      <c r="B32" s="112" t="s">
        <v>57</v>
      </c>
      <c r="C32" s="113"/>
      <c r="D32" s="97" t="s">
        <v>118</v>
      </c>
      <c r="E32" s="35"/>
      <c r="F32" s="117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  <c r="AJ32" s="73"/>
      <c r="AK32" s="74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  <c r="IP32" s="3"/>
      <c r="IQ32" s="3"/>
      <c r="IR32" s="3"/>
      <c r="IS32" s="3"/>
      <c r="IT32" s="3"/>
    </row>
    <row r="33" spans="1:254" s="2" customFormat="1" ht="23" customHeight="1">
      <c r="A33" s="37">
        <v>7</v>
      </c>
      <c r="B33" s="112" t="s">
        <v>58</v>
      </c>
      <c r="C33" s="113"/>
      <c r="D33" s="97" t="s">
        <v>118</v>
      </c>
      <c r="E33" s="35"/>
      <c r="F33" s="117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  <c r="AA33" s="68"/>
      <c r="AB33" s="68"/>
      <c r="AC33" s="68"/>
      <c r="AD33" s="68"/>
      <c r="AE33" s="68"/>
      <c r="AF33" s="68"/>
      <c r="AG33" s="68"/>
      <c r="AH33" s="68"/>
      <c r="AI33" s="68"/>
      <c r="AJ33" s="73"/>
      <c r="AK33" s="74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  <c r="IP33" s="3"/>
      <c r="IQ33" s="3"/>
      <c r="IR33" s="3"/>
      <c r="IS33" s="3"/>
      <c r="IT33" s="3"/>
    </row>
    <row r="34" spans="1:254" s="2" customFormat="1" ht="21.65" customHeight="1">
      <c r="A34" s="37">
        <v>8</v>
      </c>
      <c r="B34" s="114" t="s">
        <v>59</v>
      </c>
      <c r="C34" s="115"/>
      <c r="D34" s="97" t="s">
        <v>99</v>
      </c>
      <c r="E34" s="40"/>
      <c r="F34" s="117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  <c r="AA34" s="70"/>
      <c r="AB34" s="70"/>
      <c r="AC34" s="70"/>
      <c r="AD34" s="70"/>
      <c r="AE34" s="70"/>
      <c r="AF34" s="70"/>
      <c r="AG34" s="70"/>
      <c r="AH34" s="70"/>
      <c r="AI34" s="70"/>
      <c r="AJ34" s="75"/>
      <c r="AK34" s="76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  <c r="IP34" s="3"/>
      <c r="IQ34" s="3"/>
      <c r="IR34" s="3"/>
      <c r="IS34" s="3"/>
      <c r="IT34" s="3"/>
    </row>
    <row r="35" spans="1:254" s="2" customFormat="1" ht="21.65" customHeight="1">
      <c r="A35" s="37">
        <v>9</v>
      </c>
      <c r="B35" s="114" t="s">
        <v>60</v>
      </c>
      <c r="C35" s="115"/>
      <c r="D35" s="97" t="s">
        <v>49</v>
      </c>
      <c r="E35" s="40"/>
      <c r="F35" s="127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  <c r="AA35" s="70"/>
      <c r="AB35" s="70"/>
      <c r="AC35" s="70"/>
      <c r="AD35" s="70"/>
      <c r="AE35" s="70"/>
      <c r="AF35" s="70"/>
      <c r="AG35" s="70"/>
      <c r="AH35" s="70"/>
      <c r="AI35" s="70"/>
      <c r="AJ35" s="75"/>
      <c r="AK35" s="76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  <c r="IP35" s="3"/>
      <c r="IQ35" s="3"/>
      <c r="IR35" s="3"/>
      <c r="IS35" s="3"/>
      <c r="IT35" s="3"/>
    </row>
    <row r="36" spans="1:254" s="2" customFormat="1" ht="21.65" customHeight="1">
      <c r="A36" s="37"/>
      <c r="B36" s="125" t="s">
        <v>128</v>
      </c>
      <c r="C36" s="126"/>
      <c r="D36" s="97"/>
      <c r="E36" s="40"/>
      <c r="F36" s="98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  <c r="AA36" s="70"/>
      <c r="AB36" s="70"/>
      <c r="AC36" s="70"/>
      <c r="AD36" s="70"/>
      <c r="AE36" s="70"/>
      <c r="AF36" s="70"/>
      <c r="AG36" s="70"/>
      <c r="AH36" s="70"/>
      <c r="AI36" s="70"/>
      <c r="AJ36" s="75"/>
      <c r="AK36" s="76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  <c r="IP36" s="3"/>
      <c r="IQ36" s="3"/>
      <c r="IR36" s="3"/>
      <c r="IS36" s="3"/>
      <c r="IT36" s="3"/>
    </row>
    <row r="37" spans="1:254" s="2" customFormat="1" ht="21.65" customHeight="1">
      <c r="A37" s="37"/>
      <c r="B37" s="114" t="s">
        <v>129</v>
      </c>
      <c r="C37" s="115"/>
      <c r="D37" s="97"/>
      <c r="E37" s="40"/>
      <c r="F37" s="98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  <c r="AA37" s="70"/>
      <c r="AB37" s="70"/>
      <c r="AC37" s="70"/>
      <c r="AD37" s="70"/>
      <c r="AE37" s="70"/>
      <c r="AF37" s="70"/>
      <c r="AG37" s="70"/>
      <c r="AH37" s="70"/>
      <c r="AI37" s="70"/>
      <c r="AJ37" s="75"/>
      <c r="AK37" s="76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  <c r="IP37" s="3"/>
      <c r="IQ37" s="3"/>
      <c r="IR37" s="3"/>
      <c r="IS37" s="3"/>
      <c r="IT37" s="3"/>
    </row>
    <row r="38" spans="1:254" s="2" customFormat="1" ht="21.65" customHeight="1">
      <c r="A38" s="37"/>
      <c r="B38" s="123" t="s">
        <v>130</v>
      </c>
      <c r="C38" s="124"/>
      <c r="D38" s="97"/>
      <c r="E38" s="40"/>
      <c r="F38" s="98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  <c r="AA38" s="70"/>
      <c r="AB38" s="70"/>
      <c r="AC38" s="70"/>
      <c r="AD38" s="70"/>
      <c r="AE38" s="70"/>
      <c r="AF38" s="70"/>
      <c r="AG38" s="70"/>
      <c r="AH38" s="70"/>
      <c r="AI38" s="70"/>
      <c r="AJ38" s="75"/>
      <c r="AK38" s="76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  <c r="IP38" s="3"/>
      <c r="IQ38" s="3"/>
      <c r="IR38" s="3"/>
      <c r="IS38" s="3"/>
      <c r="IT38" s="3"/>
    </row>
    <row r="39" spans="1:254" s="2" customFormat="1" ht="21.65" customHeight="1">
      <c r="A39" s="37"/>
      <c r="B39" s="123"/>
      <c r="C39" s="124"/>
      <c r="D39" s="97"/>
      <c r="E39" s="40"/>
      <c r="F39" s="98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  <c r="AA39" s="70"/>
      <c r="AB39" s="70"/>
      <c r="AC39" s="70"/>
      <c r="AD39" s="70"/>
      <c r="AE39" s="70"/>
      <c r="AF39" s="70"/>
      <c r="AG39" s="70"/>
      <c r="AH39" s="70"/>
      <c r="AI39" s="70"/>
      <c r="AJ39" s="75"/>
      <c r="AK39" s="76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  <c r="IP39" s="3"/>
      <c r="IQ39" s="3"/>
      <c r="IR39" s="3"/>
      <c r="IS39" s="3"/>
      <c r="IT39" s="3"/>
    </row>
    <row r="40" spans="1:254" s="2" customFormat="1" ht="42" customHeight="1" thickBot="1">
      <c r="A40" s="41"/>
      <c r="B40" s="121" t="s">
        <v>63</v>
      </c>
      <c r="C40" s="122"/>
      <c r="D40" s="42" t="s">
        <v>16</v>
      </c>
      <c r="E40" s="100"/>
      <c r="F40" s="43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7"/>
      <c r="AG40" s="77"/>
      <c r="AH40" s="77"/>
      <c r="AI40" s="77"/>
      <c r="AJ40" s="78"/>
      <c r="AK40" s="79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  <c r="IP40" s="3"/>
      <c r="IQ40" s="3"/>
      <c r="IR40" s="3"/>
      <c r="IS40" s="3"/>
      <c r="IT40" s="3"/>
    </row>
    <row r="41" spans="1:254" ht="23" customHeight="1">
      <c r="A41" s="53"/>
      <c r="B41" s="54" t="s">
        <v>17</v>
      </c>
      <c r="C41" s="54"/>
      <c r="D41" s="44"/>
      <c r="E41" s="57" t="s">
        <v>96</v>
      </c>
      <c r="F41" s="80"/>
      <c r="G41" s="119"/>
      <c r="H41" s="119"/>
      <c r="I41" s="119"/>
      <c r="J41" s="119"/>
      <c r="K41" s="81"/>
      <c r="L41" s="80"/>
      <c r="M41" s="119"/>
      <c r="N41" s="119"/>
      <c r="O41" s="119"/>
      <c r="P41" s="119"/>
      <c r="Q41" s="81"/>
      <c r="R41" s="80"/>
      <c r="S41" s="119"/>
      <c r="T41" s="119"/>
      <c r="U41" s="119"/>
      <c r="V41" s="119"/>
      <c r="W41" s="81"/>
      <c r="X41" s="80"/>
      <c r="Y41" s="119"/>
      <c r="Z41" s="119"/>
      <c r="AA41" s="119"/>
      <c r="AB41" s="119"/>
      <c r="AC41" s="81"/>
      <c r="AD41" s="80"/>
      <c r="AE41" s="119"/>
      <c r="AF41" s="119"/>
      <c r="AG41" s="119"/>
      <c r="AH41" s="119"/>
      <c r="AI41" s="104"/>
      <c r="AJ41" s="55"/>
      <c r="AK41" s="56"/>
    </row>
    <row r="42" spans="1:254" ht="23" customHeight="1">
      <c r="A42" s="45"/>
      <c r="B42" s="46"/>
      <c r="C42" s="93"/>
      <c r="D42" s="95"/>
      <c r="E42" s="58" t="s">
        <v>97</v>
      </c>
      <c r="F42" s="82"/>
      <c r="G42" s="120"/>
      <c r="H42" s="120"/>
      <c r="I42" s="120"/>
      <c r="J42" s="120"/>
      <c r="K42" s="83"/>
      <c r="L42" s="82"/>
      <c r="M42" s="120"/>
      <c r="N42" s="120"/>
      <c r="O42" s="120"/>
      <c r="P42" s="120"/>
      <c r="Q42" s="83"/>
      <c r="R42" s="82"/>
      <c r="S42" s="120"/>
      <c r="T42" s="120"/>
      <c r="U42" s="120"/>
      <c r="V42" s="120"/>
      <c r="W42" s="83"/>
      <c r="X42" s="82"/>
      <c r="Y42" s="120"/>
      <c r="Z42" s="120"/>
      <c r="AA42" s="120"/>
      <c r="AB42" s="120"/>
      <c r="AC42" s="83"/>
      <c r="AD42" s="82"/>
      <c r="AE42" s="120"/>
      <c r="AF42" s="120"/>
      <c r="AG42" s="120"/>
      <c r="AH42" s="120"/>
      <c r="AI42" s="105"/>
      <c r="AJ42" s="61"/>
      <c r="AK42" s="84"/>
    </row>
    <row r="43" spans="1:254" ht="23" customHeight="1" thickBot="1">
      <c r="A43" s="49"/>
      <c r="B43" s="50"/>
      <c r="C43" s="50"/>
      <c r="D43" s="50"/>
      <c r="E43" s="60" t="s">
        <v>98</v>
      </c>
      <c r="F43" s="87"/>
      <c r="G43" s="118"/>
      <c r="H43" s="118"/>
      <c r="I43" s="118"/>
      <c r="J43" s="118"/>
      <c r="K43" s="88"/>
      <c r="L43" s="87"/>
      <c r="M43" s="118"/>
      <c r="N43" s="118"/>
      <c r="O43" s="118"/>
      <c r="P43" s="118"/>
      <c r="Q43" s="88"/>
      <c r="R43" s="87"/>
      <c r="S43" s="118"/>
      <c r="T43" s="118"/>
      <c r="U43" s="118"/>
      <c r="V43" s="118"/>
      <c r="W43" s="88"/>
      <c r="X43" s="87"/>
      <c r="Y43" s="118"/>
      <c r="Z43" s="118"/>
      <c r="AA43" s="118"/>
      <c r="AB43" s="118"/>
      <c r="AC43" s="88"/>
      <c r="AD43" s="87"/>
      <c r="AE43" s="118"/>
      <c r="AF43" s="118"/>
      <c r="AG43" s="118"/>
      <c r="AH43" s="118"/>
      <c r="AI43" s="108"/>
      <c r="AJ43" s="63"/>
      <c r="AK43" s="89"/>
    </row>
    <row r="44" spans="1:254">
      <c r="A44" s="52"/>
      <c r="B44" s="66" t="s">
        <v>20</v>
      </c>
      <c r="C44" s="66"/>
    </row>
    <row r="45" spans="1:254">
      <c r="A45" s="52"/>
      <c r="B45" s="52"/>
      <c r="C45" s="52"/>
    </row>
  </sheetData>
  <mergeCells count="66">
    <mergeCell ref="B23:C23"/>
    <mergeCell ref="F22:F23"/>
    <mergeCell ref="A1:B1"/>
    <mergeCell ref="F1:AK1"/>
    <mergeCell ref="A3:D3"/>
    <mergeCell ref="K3:L3"/>
    <mergeCell ref="M3:O3"/>
    <mergeCell ref="P3:R3"/>
    <mergeCell ref="T3:AK3"/>
    <mergeCell ref="B11:C11"/>
    <mergeCell ref="K4:L4"/>
    <mergeCell ref="M4:O4"/>
    <mergeCell ref="P4:R4"/>
    <mergeCell ref="T4:Y4"/>
    <mergeCell ref="AH4:AK4"/>
    <mergeCell ref="T5:V7"/>
    <mergeCell ref="W5:Y7"/>
    <mergeCell ref="AH5:AK7"/>
    <mergeCell ref="B10:C10"/>
    <mergeCell ref="Z4:AC4"/>
    <mergeCell ref="AD4:AG4"/>
    <mergeCell ref="B33:C33"/>
    <mergeCell ref="B34:C34"/>
    <mergeCell ref="B35:C35"/>
    <mergeCell ref="B36:C36"/>
    <mergeCell ref="B25:C25"/>
    <mergeCell ref="B26:C26"/>
    <mergeCell ref="B27:C27"/>
    <mergeCell ref="B30:C30"/>
    <mergeCell ref="B31:C31"/>
    <mergeCell ref="B32:C32"/>
    <mergeCell ref="B40:C40"/>
    <mergeCell ref="G41:J41"/>
    <mergeCell ref="B37:C37"/>
    <mergeCell ref="B39:C39"/>
    <mergeCell ref="B38:C38"/>
    <mergeCell ref="M41:P41"/>
    <mergeCell ref="S41:V41"/>
    <mergeCell ref="Y41:AB41"/>
    <mergeCell ref="AE41:AH41"/>
    <mergeCell ref="G42:J42"/>
    <mergeCell ref="M42:P42"/>
    <mergeCell ref="S42:V42"/>
    <mergeCell ref="Y42:AB42"/>
    <mergeCell ref="AE42:AH42"/>
    <mergeCell ref="G43:J43"/>
    <mergeCell ref="M43:P43"/>
    <mergeCell ref="S43:V43"/>
    <mergeCell ref="Y43:AB43"/>
    <mergeCell ref="AE43:AH43"/>
    <mergeCell ref="B13:C13"/>
    <mergeCell ref="B15:C15"/>
    <mergeCell ref="B28:C28"/>
    <mergeCell ref="B29:C29"/>
    <mergeCell ref="F12:F21"/>
    <mergeCell ref="F27:F35"/>
    <mergeCell ref="B12:C12"/>
    <mergeCell ref="B14:C14"/>
    <mergeCell ref="B16:C16"/>
    <mergeCell ref="B17:C17"/>
    <mergeCell ref="B18:C18"/>
    <mergeCell ref="B19:C19"/>
    <mergeCell ref="B20:C20"/>
    <mergeCell ref="B21:C21"/>
    <mergeCell ref="B22:C22"/>
    <mergeCell ref="B24:C24"/>
  </mergeCells>
  <phoneticPr fontId="3"/>
  <conditionalFormatting sqref="G9:AK10">
    <cfRule type="expression" dxfId="2" priority="1">
      <formula>TEXT(G9,"aaa")="土"</formula>
    </cfRule>
  </conditionalFormatting>
  <conditionalFormatting sqref="G9:AK40">
    <cfRule type="expression" dxfId="1" priority="2">
      <formula>TEXT(G9,"aaa")="日"</formula>
    </cfRule>
  </conditionalFormatting>
  <pageMargins left="0.23622047244094491" right="3.937007874015748E-2" top="0.55118110236220474" bottom="0.35433070866141736" header="0.31496062992125984" footer="0.31496062992125984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EEA3-50A6-4057-BA19-4E74F5276C52}">
  <sheetPr>
    <pageSetUpPr fitToPage="1"/>
  </sheetPr>
  <dimension ref="A1:IT50"/>
  <sheetViews>
    <sheetView topLeftCell="A17" zoomScale="70" zoomScaleNormal="70" workbookViewId="0">
      <selection activeCell="D27" sqref="D27"/>
    </sheetView>
  </sheetViews>
  <sheetFormatPr defaultRowHeight="18"/>
  <cols>
    <col min="2" max="2" width="27.83203125" customWidth="1"/>
    <col min="3" max="3" width="6" customWidth="1"/>
    <col min="4" max="4" width="17" customWidth="1"/>
    <col min="5" max="5" width="24.4140625" hidden="1" customWidth="1"/>
    <col min="7" max="32" width="6.25" customWidth="1"/>
  </cols>
  <sheetData>
    <row r="1" spans="1:254" s="2" customFormat="1" ht="30" customHeight="1" thickBot="1">
      <c r="A1" s="153" t="s">
        <v>26</v>
      </c>
      <c r="B1" s="153"/>
      <c r="C1" s="90"/>
      <c r="F1" s="154" t="s">
        <v>30</v>
      </c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  <c r="EE1" s="3"/>
      <c r="EF1" s="3"/>
      <c r="EG1" s="3"/>
      <c r="EH1" s="3"/>
      <c r="EI1" s="3"/>
      <c r="EJ1" s="3"/>
      <c r="EK1" s="3"/>
      <c r="EL1" s="3"/>
      <c r="EM1" s="3"/>
      <c r="EN1" s="3"/>
      <c r="EO1" s="3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FH1" s="3"/>
      <c r="FI1" s="3"/>
      <c r="FJ1" s="3"/>
      <c r="FK1" s="3"/>
      <c r="FL1" s="3"/>
      <c r="FM1" s="3"/>
      <c r="FN1" s="3"/>
      <c r="FO1" s="3"/>
      <c r="FP1" s="3"/>
      <c r="FQ1" s="3"/>
      <c r="FR1" s="3"/>
      <c r="FS1" s="3"/>
      <c r="FT1" s="3"/>
      <c r="FU1" s="3"/>
      <c r="FV1" s="3"/>
      <c r="FW1" s="3"/>
      <c r="FX1" s="3"/>
      <c r="FY1" s="3"/>
      <c r="FZ1" s="3"/>
      <c r="GA1" s="3"/>
      <c r="GB1" s="3"/>
      <c r="GC1" s="3"/>
      <c r="GD1" s="3"/>
      <c r="GE1" s="3"/>
      <c r="GF1" s="3"/>
      <c r="GG1" s="3"/>
      <c r="GH1" s="3"/>
      <c r="GI1" s="3"/>
      <c r="GJ1" s="3"/>
      <c r="GK1" s="3"/>
      <c r="GL1" s="3"/>
      <c r="GM1" s="3"/>
      <c r="GN1" s="3"/>
      <c r="GO1" s="3"/>
      <c r="GP1" s="3"/>
      <c r="GQ1" s="3"/>
      <c r="GR1" s="3"/>
      <c r="GS1" s="3"/>
      <c r="GT1" s="3"/>
      <c r="GU1" s="3"/>
      <c r="GV1" s="3"/>
      <c r="GW1" s="3"/>
      <c r="GX1" s="3"/>
      <c r="GY1" s="3"/>
      <c r="GZ1" s="3"/>
      <c r="HA1" s="3"/>
      <c r="HB1" s="3"/>
      <c r="HC1" s="3"/>
      <c r="HD1" s="3"/>
      <c r="HE1" s="3"/>
      <c r="HF1" s="3"/>
      <c r="HG1" s="3"/>
      <c r="HH1" s="3"/>
      <c r="HI1" s="3"/>
      <c r="HJ1" s="3"/>
      <c r="HK1" s="3"/>
      <c r="HL1" s="3"/>
      <c r="HM1" s="3"/>
      <c r="HN1" s="3"/>
      <c r="HO1" s="3"/>
      <c r="HP1" s="3"/>
      <c r="HQ1" s="3"/>
      <c r="HR1" s="3"/>
      <c r="HS1" s="3"/>
      <c r="HT1" s="3"/>
      <c r="HU1" s="3"/>
      <c r="HV1" s="3"/>
      <c r="HW1" s="3"/>
      <c r="HX1" s="3"/>
      <c r="HY1" s="3"/>
      <c r="HZ1" s="3"/>
      <c r="IA1" s="3"/>
      <c r="IB1" s="3"/>
      <c r="IC1" s="3"/>
      <c r="ID1" s="3"/>
      <c r="IE1" s="3"/>
      <c r="IF1" s="3"/>
      <c r="IG1" s="3"/>
      <c r="IH1" s="3"/>
      <c r="II1" s="3"/>
      <c r="IJ1" s="3"/>
      <c r="IK1" s="3"/>
      <c r="IL1" s="3"/>
      <c r="IM1" s="3"/>
      <c r="IN1" s="3"/>
      <c r="IO1" s="3"/>
    </row>
    <row r="2" spans="1:254" s="2" customFormat="1" ht="15.65" customHeight="1" thickTop="1" thickBot="1">
      <c r="A2" s="4"/>
      <c r="B2" s="1"/>
      <c r="C2" s="1"/>
      <c r="D2" s="5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X2" s="6"/>
      <c r="Y2" s="6"/>
      <c r="Z2" s="6"/>
      <c r="AA2" s="6"/>
      <c r="AB2" s="6"/>
      <c r="AC2" s="6"/>
      <c r="AD2" s="6"/>
      <c r="AE2" s="6"/>
      <c r="AF2" s="6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  <c r="DI2" s="3"/>
      <c r="DJ2" s="3"/>
      <c r="DK2" s="3"/>
      <c r="DL2" s="3"/>
      <c r="DM2" s="3"/>
      <c r="DN2" s="3"/>
      <c r="DO2" s="3"/>
      <c r="DP2" s="3"/>
      <c r="DQ2" s="3"/>
      <c r="DR2" s="3"/>
      <c r="DS2" s="3"/>
      <c r="DT2" s="3"/>
      <c r="DU2" s="3"/>
      <c r="DV2" s="3"/>
      <c r="DW2" s="3"/>
      <c r="DX2" s="3"/>
      <c r="DY2" s="3"/>
      <c r="DZ2" s="3"/>
      <c r="EA2" s="3"/>
      <c r="EB2" s="3"/>
      <c r="EC2" s="3"/>
      <c r="ED2" s="3"/>
      <c r="EE2" s="3"/>
      <c r="EF2" s="3"/>
      <c r="EG2" s="3"/>
      <c r="EH2" s="3"/>
      <c r="EI2" s="3"/>
      <c r="EJ2" s="3"/>
      <c r="EK2" s="3"/>
      <c r="EL2" s="3"/>
      <c r="EM2" s="3"/>
      <c r="EN2" s="3"/>
      <c r="EO2" s="3"/>
      <c r="EP2" s="3"/>
      <c r="EQ2" s="3"/>
      <c r="ER2" s="3"/>
      <c r="ES2" s="3"/>
      <c r="ET2" s="3"/>
      <c r="EU2" s="3"/>
      <c r="EV2" s="3"/>
      <c r="EW2" s="3"/>
      <c r="EX2" s="3"/>
      <c r="EY2" s="3"/>
      <c r="EZ2" s="3"/>
      <c r="FA2" s="3"/>
      <c r="FB2" s="3"/>
      <c r="FC2" s="3"/>
      <c r="FD2" s="3"/>
      <c r="FE2" s="3"/>
      <c r="FF2" s="3"/>
      <c r="FG2" s="3"/>
      <c r="FH2" s="3"/>
      <c r="FI2" s="3"/>
      <c r="FJ2" s="3"/>
      <c r="FK2" s="3"/>
      <c r="FL2" s="3"/>
      <c r="FM2" s="3"/>
      <c r="FN2" s="3"/>
      <c r="FO2" s="3"/>
      <c r="FP2" s="3"/>
      <c r="FQ2" s="3"/>
      <c r="FR2" s="3"/>
      <c r="FS2" s="3"/>
      <c r="FT2" s="3"/>
      <c r="FU2" s="3"/>
      <c r="FV2" s="3"/>
      <c r="FW2" s="3"/>
      <c r="FX2" s="3"/>
      <c r="FY2" s="3"/>
      <c r="FZ2" s="3"/>
      <c r="GA2" s="3"/>
      <c r="GB2" s="3"/>
      <c r="GC2" s="3"/>
      <c r="GD2" s="3"/>
      <c r="GE2" s="3"/>
      <c r="GF2" s="3"/>
      <c r="GG2" s="3"/>
      <c r="GH2" s="3"/>
      <c r="GI2" s="3"/>
      <c r="GJ2" s="3"/>
      <c r="GK2" s="3"/>
      <c r="GL2" s="3"/>
      <c r="GM2" s="3"/>
      <c r="GN2" s="3"/>
      <c r="GO2" s="3"/>
      <c r="GP2" s="3"/>
      <c r="GQ2" s="3"/>
      <c r="GR2" s="3"/>
      <c r="GS2" s="3"/>
      <c r="GT2" s="3"/>
      <c r="GU2" s="3"/>
      <c r="GV2" s="3"/>
      <c r="GW2" s="3"/>
      <c r="GX2" s="3"/>
      <c r="GY2" s="3"/>
      <c r="GZ2" s="3"/>
      <c r="HA2" s="3"/>
      <c r="HB2" s="3"/>
      <c r="HC2" s="3"/>
      <c r="HD2" s="3"/>
      <c r="HE2" s="3"/>
      <c r="HF2" s="3"/>
      <c r="HG2" s="3"/>
      <c r="HH2" s="3"/>
      <c r="HI2" s="3"/>
      <c r="HJ2" s="3"/>
      <c r="HK2" s="3"/>
      <c r="HL2" s="3"/>
      <c r="HM2" s="3"/>
      <c r="HN2" s="3"/>
      <c r="HO2" s="3"/>
      <c r="HP2" s="3"/>
      <c r="HQ2" s="3"/>
      <c r="HR2" s="3"/>
      <c r="HS2" s="3"/>
      <c r="HT2" s="3"/>
      <c r="HU2" s="3"/>
      <c r="HV2" s="3"/>
      <c r="HW2" s="3"/>
      <c r="HX2" s="3"/>
      <c r="HY2" s="3"/>
      <c r="HZ2" s="3"/>
      <c r="IA2" s="3"/>
      <c r="IB2" s="3"/>
      <c r="IC2" s="3"/>
      <c r="ID2" s="3"/>
      <c r="IE2" s="3"/>
      <c r="IF2" s="3"/>
      <c r="IG2" s="3"/>
      <c r="IH2" s="3"/>
      <c r="II2" s="3"/>
      <c r="IJ2" s="3"/>
      <c r="IK2" s="3"/>
      <c r="IL2" s="3"/>
      <c r="IM2" s="3"/>
      <c r="IN2" s="3"/>
      <c r="IO2" s="3"/>
    </row>
    <row r="3" spans="1:254" s="2" customFormat="1" ht="20" customHeight="1" thickBot="1">
      <c r="A3" s="155" t="s">
        <v>51</v>
      </c>
      <c r="B3" s="156"/>
      <c r="C3" s="156"/>
      <c r="D3" s="157"/>
      <c r="E3" s="99"/>
      <c r="G3" s="51"/>
      <c r="H3" s="67" t="s">
        <v>21</v>
      </c>
      <c r="K3" s="151" t="s">
        <v>0</v>
      </c>
      <c r="L3" s="151"/>
      <c r="M3" s="151" t="s">
        <v>1</v>
      </c>
      <c r="N3" s="151"/>
      <c r="O3" s="151"/>
      <c r="P3" s="151" t="s">
        <v>2</v>
      </c>
      <c r="Q3" s="151"/>
      <c r="R3" s="151"/>
      <c r="S3" s="3"/>
      <c r="T3" s="158" t="s">
        <v>3</v>
      </c>
      <c r="U3" s="159"/>
      <c r="V3" s="159"/>
      <c r="W3" s="159"/>
      <c r="X3" s="159"/>
      <c r="Y3" s="159"/>
      <c r="Z3" s="159"/>
      <c r="AA3" s="159"/>
      <c r="AB3" s="159"/>
      <c r="AC3" s="159"/>
      <c r="AD3" s="159"/>
      <c r="AE3" s="159"/>
      <c r="AF3" s="160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  <c r="EM3" s="3"/>
      <c r="EN3" s="3"/>
      <c r="EO3" s="3"/>
      <c r="EP3" s="3"/>
      <c r="EQ3" s="3"/>
      <c r="ER3" s="3"/>
      <c r="ES3" s="3"/>
      <c r="ET3" s="3"/>
      <c r="EU3" s="3"/>
      <c r="EV3" s="3"/>
      <c r="EW3" s="3"/>
      <c r="EX3" s="3"/>
      <c r="EY3" s="3"/>
      <c r="EZ3" s="3"/>
      <c r="FA3" s="3"/>
      <c r="FB3" s="3"/>
      <c r="FC3" s="3"/>
      <c r="FD3" s="3"/>
      <c r="FE3" s="3"/>
      <c r="FF3" s="3"/>
      <c r="FG3" s="3"/>
      <c r="FH3" s="3"/>
      <c r="FI3" s="3"/>
      <c r="FJ3" s="3"/>
      <c r="FK3" s="3"/>
      <c r="FL3" s="3"/>
      <c r="FM3" s="3"/>
      <c r="FN3" s="3"/>
      <c r="FO3" s="3"/>
      <c r="FP3" s="3"/>
      <c r="FQ3" s="3"/>
      <c r="FR3" s="3"/>
      <c r="FS3" s="3"/>
      <c r="FT3" s="3"/>
      <c r="FU3" s="3"/>
      <c r="FV3" s="3"/>
      <c r="FW3" s="3"/>
      <c r="FX3" s="3"/>
      <c r="FY3" s="3"/>
      <c r="FZ3" s="3"/>
      <c r="GA3" s="3"/>
      <c r="GB3" s="3"/>
      <c r="GC3" s="3"/>
      <c r="GD3" s="3"/>
      <c r="GE3" s="3"/>
      <c r="GF3" s="3"/>
      <c r="GG3" s="3"/>
      <c r="GH3" s="3"/>
      <c r="GI3" s="3"/>
      <c r="GJ3" s="3"/>
      <c r="GK3" s="3"/>
      <c r="GL3" s="3"/>
      <c r="GM3" s="3"/>
      <c r="GN3" s="3"/>
      <c r="GO3" s="3"/>
      <c r="GP3" s="3"/>
      <c r="GQ3" s="3"/>
      <c r="GR3" s="3"/>
      <c r="GS3" s="3"/>
      <c r="GT3" s="3"/>
      <c r="GU3" s="3"/>
      <c r="GV3" s="3"/>
      <c r="GW3" s="3"/>
      <c r="GX3" s="3"/>
      <c r="GY3" s="3"/>
      <c r="GZ3" s="3"/>
      <c r="HA3" s="3"/>
      <c r="HB3" s="3"/>
      <c r="HC3" s="3"/>
      <c r="HD3" s="3"/>
      <c r="HE3" s="3"/>
      <c r="HF3" s="3"/>
      <c r="HG3" s="3"/>
      <c r="HH3" s="3"/>
      <c r="HI3" s="3"/>
      <c r="HJ3" s="3"/>
      <c r="HK3" s="3"/>
      <c r="HL3" s="3"/>
      <c r="HM3" s="3"/>
      <c r="HN3" s="3"/>
      <c r="HO3" s="3"/>
      <c r="HP3" s="3"/>
      <c r="HQ3" s="3"/>
      <c r="HR3" s="3"/>
      <c r="HS3" s="3"/>
      <c r="HT3" s="3"/>
      <c r="HU3" s="3"/>
      <c r="HV3" s="3"/>
      <c r="HW3" s="3"/>
      <c r="HX3" s="3"/>
      <c r="HY3" s="3"/>
      <c r="HZ3" s="3"/>
      <c r="IA3" s="3"/>
      <c r="IB3" s="3"/>
      <c r="IC3" s="3"/>
      <c r="ID3" s="3"/>
      <c r="IE3" s="3"/>
      <c r="IF3" s="3"/>
      <c r="IG3" s="3"/>
      <c r="IH3" s="3"/>
      <c r="II3" s="3"/>
      <c r="IJ3" s="3"/>
      <c r="IK3" s="3"/>
      <c r="IL3" s="3"/>
      <c r="IM3" s="3"/>
      <c r="IN3" s="3"/>
      <c r="IO3" s="3"/>
    </row>
    <row r="4" spans="1:254" s="2" customFormat="1" ht="20" customHeight="1">
      <c r="A4" s="7" t="s">
        <v>52</v>
      </c>
      <c r="B4" s="8"/>
      <c r="C4" s="8"/>
      <c r="D4" s="9"/>
      <c r="E4" s="6"/>
      <c r="G4" s="51"/>
      <c r="H4" s="67" t="s">
        <v>22</v>
      </c>
      <c r="K4" s="151" t="s">
        <v>4</v>
      </c>
      <c r="L4" s="151"/>
      <c r="M4" s="152">
        <v>46113</v>
      </c>
      <c r="N4" s="152"/>
      <c r="O4" s="152"/>
      <c r="P4" s="151" t="s">
        <v>50</v>
      </c>
      <c r="Q4" s="151"/>
      <c r="R4" s="151"/>
      <c r="S4" s="3"/>
      <c r="T4" s="128" t="s">
        <v>5</v>
      </c>
      <c r="U4" s="129"/>
      <c r="V4" s="129"/>
      <c r="W4" s="130"/>
      <c r="X4" s="128" t="s">
        <v>6</v>
      </c>
      <c r="Y4" s="129"/>
      <c r="Z4" s="130"/>
      <c r="AA4" s="128" t="s">
        <v>7</v>
      </c>
      <c r="AB4" s="129"/>
      <c r="AC4" s="130"/>
      <c r="AD4" s="128" t="s">
        <v>8</v>
      </c>
      <c r="AE4" s="129"/>
      <c r="AF4" s="130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  <c r="EA4" s="3"/>
      <c r="EB4" s="3"/>
      <c r="EC4" s="3"/>
      <c r="ED4" s="3"/>
      <c r="EE4" s="3"/>
      <c r="EF4" s="3"/>
      <c r="EG4" s="3"/>
      <c r="EH4" s="3"/>
      <c r="EI4" s="3"/>
      <c r="EJ4" s="3"/>
      <c r="EK4" s="3"/>
      <c r="EL4" s="3"/>
      <c r="EM4" s="3"/>
      <c r="EN4" s="3"/>
      <c r="EO4" s="3"/>
      <c r="EP4" s="3"/>
      <c r="EQ4" s="3"/>
      <c r="ER4" s="3"/>
      <c r="ES4" s="3"/>
      <c r="ET4" s="3"/>
      <c r="EU4" s="3"/>
      <c r="EV4" s="3"/>
      <c r="EW4" s="3"/>
      <c r="EX4" s="3"/>
      <c r="EY4" s="3"/>
      <c r="EZ4" s="3"/>
      <c r="FA4" s="3"/>
      <c r="FB4" s="3"/>
      <c r="FC4" s="3"/>
      <c r="FD4" s="3"/>
      <c r="FE4" s="3"/>
      <c r="FF4" s="3"/>
      <c r="FG4" s="3"/>
      <c r="FH4" s="3"/>
      <c r="FI4" s="3"/>
      <c r="FJ4" s="3"/>
      <c r="FK4" s="3"/>
      <c r="FL4" s="3"/>
      <c r="FM4" s="3"/>
      <c r="FN4" s="3"/>
      <c r="FO4" s="3"/>
      <c r="FP4" s="3"/>
      <c r="FQ4" s="3"/>
      <c r="FR4" s="3"/>
      <c r="FS4" s="3"/>
      <c r="FT4" s="3"/>
      <c r="FU4" s="3"/>
      <c r="FV4" s="3"/>
      <c r="FW4" s="3"/>
      <c r="FX4" s="3"/>
      <c r="FY4" s="3"/>
      <c r="FZ4" s="3"/>
      <c r="GA4" s="3"/>
      <c r="GB4" s="3"/>
      <c r="GC4" s="3"/>
      <c r="GD4" s="3"/>
      <c r="GE4" s="3"/>
      <c r="GF4" s="3"/>
      <c r="GG4" s="3"/>
      <c r="GH4" s="3"/>
      <c r="GI4" s="3"/>
      <c r="GJ4" s="3"/>
      <c r="GK4" s="3"/>
      <c r="GL4" s="3"/>
      <c r="GM4" s="3"/>
      <c r="GN4" s="3"/>
      <c r="GO4" s="3"/>
      <c r="GP4" s="3"/>
      <c r="GQ4" s="3"/>
      <c r="GR4" s="3"/>
      <c r="GS4" s="3"/>
      <c r="GT4" s="3"/>
      <c r="GU4" s="3"/>
      <c r="GV4" s="3"/>
      <c r="GW4" s="3"/>
      <c r="GX4" s="3"/>
      <c r="GY4" s="3"/>
      <c r="GZ4" s="3"/>
      <c r="HA4" s="3"/>
      <c r="HB4" s="3"/>
      <c r="HC4" s="3"/>
      <c r="HD4" s="3"/>
      <c r="HE4" s="3"/>
      <c r="HF4" s="3"/>
      <c r="HG4" s="3"/>
      <c r="HH4" s="3"/>
      <c r="HI4" s="3"/>
      <c r="HJ4" s="3"/>
      <c r="HK4" s="3"/>
      <c r="HL4" s="3"/>
      <c r="HM4" s="3"/>
      <c r="HN4" s="3"/>
      <c r="HO4" s="3"/>
      <c r="HP4" s="3"/>
      <c r="HQ4" s="3"/>
      <c r="HR4" s="3"/>
      <c r="HS4" s="3"/>
      <c r="HT4" s="3"/>
      <c r="HU4" s="3"/>
      <c r="HV4" s="3"/>
      <c r="HW4" s="3"/>
      <c r="HX4" s="3"/>
      <c r="HY4" s="3"/>
      <c r="HZ4" s="3"/>
      <c r="IA4" s="3"/>
      <c r="IB4" s="3"/>
      <c r="IC4" s="3"/>
      <c r="ID4" s="3"/>
      <c r="IE4" s="3"/>
      <c r="IF4" s="3"/>
      <c r="IG4" s="3"/>
      <c r="IH4" s="3"/>
      <c r="II4" s="3"/>
      <c r="IJ4" s="3"/>
      <c r="IK4" s="3"/>
      <c r="IL4" s="3"/>
      <c r="IM4" s="3"/>
      <c r="IN4" s="3"/>
      <c r="IO4" s="3"/>
    </row>
    <row r="5" spans="1:254" s="2" customFormat="1" ht="12" customHeight="1" thickBot="1">
      <c r="A5" s="10"/>
      <c r="B5" s="1"/>
      <c r="C5" s="1"/>
      <c r="D5" s="6"/>
      <c r="E5" s="6"/>
      <c r="G5" s="51"/>
      <c r="H5" s="67" t="s">
        <v>23</v>
      </c>
      <c r="S5" s="3"/>
      <c r="T5" s="164" t="s">
        <v>64</v>
      </c>
      <c r="U5" s="165"/>
      <c r="V5" s="165"/>
      <c r="W5" s="166"/>
      <c r="X5" s="11"/>
      <c r="Y5" s="3"/>
      <c r="Z5" s="12"/>
      <c r="AA5" s="11"/>
      <c r="AB5" s="3"/>
      <c r="AC5" s="12"/>
      <c r="AD5" s="141"/>
      <c r="AE5" s="142"/>
      <c r="AF5" s="14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3"/>
      <c r="HQ5" s="3"/>
      <c r="HR5" s="3"/>
      <c r="HS5" s="3"/>
      <c r="HT5" s="3"/>
      <c r="HU5" s="3"/>
      <c r="HV5" s="3"/>
      <c r="HW5" s="3"/>
      <c r="HX5" s="3"/>
      <c r="HY5" s="3"/>
      <c r="HZ5" s="3"/>
      <c r="IA5" s="3"/>
      <c r="IB5" s="3"/>
      <c r="IC5" s="3"/>
      <c r="ID5" s="3"/>
      <c r="IE5" s="3"/>
      <c r="IF5" s="3"/>
      <c r="IG5" s="3"/>
      <c r="IH5" s="3"/>
      <c r="II5" s="3"/>
      <c r="IJ5" s="3"/>
      <c r="IK5" s="3"/>
      <c r="IL5" s="3"/>
      <c r="IM5" s="3"/>
      <c r="IN5" s="3"/>
      <c r="IO5" s="3"/>
    </row>
    <row r="6" spans="1:254" s="2" customFormat="1" ht="18.75" customHeight="1" thickTop="1">
      <c r="A6" s="107" t="s">
        <v>121</v>
      </c>
      <c r="B6" s="14"/>
      <c r="C6" s="14"/>
      <c r="D6" s="15"/>
      <c r="E6" s="15"/>
      <c r="F6" s="16"/>
      <c r="G6" s="51"/>
      <c r="H6" s="67" t="s">
        <v>24</v>
      </c>
      <c r="R6" s="3"/>
      <c r="S6" s="3"/>
      <c r="T6" s="164"/>
      <c r="U6" s="165"/>
      <c r="V6" s="165"/>
      <c r="W6" s="166"/>
      <c r="X6" s="11"/>
      <c r="Y6" s="3"/>
      <c r="Z6" s="12"/>
      <c r="AA6" s="11"/>
      <c r="AB6" s="3"/>
      <c r="AC6" s="12"/>
      <c r="AD6" s="141"/>
      <c r="AE6" s="142"/>
      <c r="AF6" s="14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3"/>
      <c r="HQ6" s="3"/>
      <c r="HR6" s="3"/>
      <c r="HS6" s="3"/>
      <c r="HT6" s="3"/>
      <c r="HU6" s="3"/>
      <c r="HV6" s="3"/>
      <c r="HW6" s="3"/>
      <c r="HX6" s="3"/>
      <c r="HY6" s="3"/>
      <c r="HZ6" s="3"/>
      <c r="IA6" s="3"/>
      <c r="IB6" s="3"/>
      <c r="IC6" s="3"/>
      <c r="ID6" s="3"/>
      <c r="IE6" s="3"/>
      <c r="IF6" s="3"/>
      <c r="IG6" s="3"/>
      <c r="IH6" s="3"/>
      <c r="II6" s="3"/>
      <c r="IJ6" s="3"/>
      <c r="IK6" s="3"/>
      <c r="IL6" s="3"/>
      <c r="IM6" s="3"/>
      <c r="IN6" s="3"/>
      <c r="IO6" s="3"/>
    </row>
    <row r="7" spans="1:254" s="2" customFormat="1" ht="18.75" customHeight="1" thickBot="1">
      <c r="A7" s="17" t="s">
        <v>9</v>
      </c>
      <c r="B7" s="18"/>
      <c r="C7" s="18"/>
      <c r="D7" s="19"/>
      <c r="E7" s="19"/>
      <c r="F7" s="20"/>
      <c r="G7" s="51"/>
      <c r="H7" s="67" t="s">
        <v>25</v>
      </c>
      <c r="R7" s="3"/>
      <c r="S7" s="3"/>
      <c r="T7" s="167"/>
      <c r="U7" s="168"/>
      <c r="V7" s="168"/>
      <c r="W7" s="169"/>
      <c r="X7" s="21"/>
      <c r="Y7" s="22"/>
      <c r="Z7" s="23"/>
      <c r="AA7" s="21"/>
      <c r="AB7" s="22"/>
      <c r="AC7" s="23"/>
      <c r="AD7" s="144"/>
      <c r="AE7" s="145"/>
      <c r="AF7" s="146"/>
      <c r="AG7" s="91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3"/>
      <c r="HQ7" s="3"/>
      <c r="HR7" s="3"/>
      <c r="HS7" s="3"/>
      <c r="HT7" s="3"/>
      <c r="HU7" s="3"/>
      <c r="HV7" s="3"/>
      <c r="HW7" s="3"/>
      <c r="HX7" s="3"/>
      <c r="HY7" s="3"/>
      <c r="HZ7" s="3"/>
      <c r="IA7" s="3"/>
      <c r="IB7" s="3"/>
      <c r="IC7" s="3"/>
      <c r="ID7" s="3"/>
      <c r="IE7" s="3"/>
      <c r="IF7" s="3"/>
      <c r="IG7" s="3"/>
      <c r="IH7" s="3"/>
      <c r="II7" s="3"/>
      <c r="IJ7" s="3"/>
      <c r="IK7" s="3"/>
      <c r="IL7" s="3"/>
      <c r="IM7" s="3"/>
      <c r="IN7" s="3"/>
      <c r="IO7" s="3"/>
    </row>
    <row r="8" spans="1:254" s="2" customFormat="1" ht="20" customHeight="1" thickTop="1" thickBot="1">
      <c r="A8" s="6"/>
      <c r="B8" s="6"/>
      <c r="C8" s="6"/>
      <c r="D8" s="6"/>
      <c r="E8" s="6"/>
      <c r="F8" s="6"/>
      <c r="G8" s="6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103"/>
      <c r="AE8" s="103"/>
      <c r="AF8" s="103"/>
      <c r="AG8" s="92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3"/>
      <c r="HQ8" s="3"/>
      <c r="HR8" s="3"/>
      <c r="HS8" s="3"/>
      <c r="HT8" s="3"/>
      <c r="HU8" s="3"/>
      <c r="HV8" s="3"/>
      <c r="HW8" s="3"/>
      <c r="HX8" s="3"/>
      <c r="HY8" s="3"/>
      <c r="HZ8" s="3"/>
      <c r="IA8" s="3"/>
      <c r="IB8" s="3"/>
      <c r="IC8" s="3"/>
      <c r="ID8" s="3"/>
      <c r="IE8" s="3"/>
      <c r="IF8" s="3"/>
      <c r="IG8" s="3"/>
      <c r="IH8" s="3"/>
      <c r="II8" s="3"/>
      <c r="IJ8" s="3"/>
      <c r="IK8" s="3"/>
      <c r="IL8" s="3"/>
      <c r="IM8" s="3"/>
      <c r="IN8" s="3"/>
      <c r="IO8" s="3"/>
    </row>
    <row r="9" spans="1:254" s="2" customFormat="1" ht="23" customHeight="1">
      <c r="A9" s="25"/>
      <c r="B9" s="26" t="s">
        <v>10</v>
      </c>
      <c r="C9" s="26"/>
      <c r="D9" s="27" t="s">
        <v>11</v>
      </c>
      <c r="E9" s="27" t="s">
        <v>48</v>
      </c>
      <c r="F9" s="28"/>
      <c r="G9" s="102" t="s">
        <v>65</v>
      </c>
      <c r="H9" s="102" t="s">
        <v>66</v>
      </c>
      <c r="I9" s="102" t="s">
        <v>67</v>
      </c>
      <c r="J9" s="102" t="s">
        <v>68</v>
      </c>
      <c r="K9" s="102" t="s">
        <v>69</v>
      </c>
      <c r="L9" s="102" t="s">
        <v>70</v>
      </c>
      <c r="M9" s="102" t="s">
        <v>71</v>
      </c>
      <c r="N9" s="102" t="s">
        <v>72</v>
      </c>
      <c r="O9" s="102" t="s">
        <v>73</v>
      </c>
      <c r="P9" s="102" t="s">
        <v>74</v>
      </c>
      <c r="Q9" s="102" t="s">
        <v>75</v>
      </c>
      <c r="R9" s="102" t="s">
        <v>76</v>
      </c>
      <c r="S9" s="177" t="s">
        <v>78</v>
      </c>
      <c r="T9" s="178"/>
      <c r="U9" s="178"/>
      <c r="V9" s="178"/>
      <c r="W9" s="178"/>
      <c r="X9" s="178"/>
      <c r="Y9" s="178"/>
      <c r="Z9" s="178"/>
      <c r="AA9" s="178"/>
      <c r="AB9" s="178"/>
      <c r="AC9" s="178"/>
      <c r="AD9" s="178"/>
      <c r="AE9" s="178"/>
      <c r="AF9" s="179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3"/>
      <c r="HQ9" s="3"/>
      <c r="HR9" s="3"/>
      <c r="HS9" s="3"/>
      <c r="HT9" s="3"/>
      <c r="HU9" s="3"/>
      <c r="HV9" s="3"/>
      <c r="HW9" s="3"/>
      <c r="HX9" s="3"/>
      <c r="HY9" s="3"/>
      <c r="HZ9" s="3"/>
      <c r="IA9" s="3"/>
      <c r="IB9" s="3"/>
      <c r="IC9" s="3"/>
      <c r="ID9" s="3"/>
      <c r="IE9" s="3"/>
      <c r="IF9" s="3"/>
      <c r="IG9" s="3"/>
      <c r="IH9" s="3"/>
      <c r="II9" s="3"/>
      <c r="IJ9" s="3"/>
      <c r="IK9" s="3"/>
      <c r="IL9" s="3"/>
      <c r="IM9" s="3"/>
      <c r="IN9" s="3"/>
      <c r="IO9" s="3"/>
    </row>
    <row r="10" spans="1:254" s="2" customFormat="1" ht="23" hidden="1" customHeight="1">
      <c r="A10" s="29"/>
      <c r="B10" s="147"/>
      <c r="C10" s="148"/>
      <c r="D10" s="30"/>
      <c r="E10" s="30"/>
      <c r="F10" s="31"/>
      <c r="G10" s="32" t="str">
        <f>TEXT(G9,"aaa")</f>
        <v>4月</v>
      </c>
      <c r="H10" s="32" t="str">
        <f>TEXT(H9,"aaa")</f>
        <v>5月</v>
      </c>
      <c r="I10" s="32" t="str">
        <f t="shared" ref="I10:AF10" si="0">TEXT(I9,"aaa")</f>
        <v>6月</v>
      </c>
      <c r="J10" s="32" t="str">
        <f t="shared" si="0"/>
        <v>7月</v>
      </c>
      <c r="K10" s="32" t="str">
        <f t="shared" si="0"/>
        <v>8月</v>
      </c>
      <c r="L10" s="32" t="str">
        <f t="shared" si="0"/>
        <v>9月</v>
      </c>
      <c r="M10" s="32" t="str">
        <f t="shared" si="0"/>
        <v>10月</v>
      </c>
      <c r="N10" s="32" t="str">
        <f t="shared" si="0"/>
        <v>11月</v>
      </c>
      <c r="O10" s="32" t="str">
        <f t="shared" si="0"/>
        <v>12月</v>
      </c>
      <c r="P10" s="32" t="str">
        <f t="shared" si="0"/>
        <v>1月</v>
      </c>
      <c r="Q10" s="32" t="str">
        <f t="shared" si="0"/>
        <v>2月</v>
      </c>
      <c r="R10" s="32" t="str">
        <f t="shared" si="0"/>
        <v>3月</v>
      </c>
      <c r="S10" s="32" t="str">
        <f t="shared" si="0"/>
        <v>【点検結果に問題がある場合の報告欄】</v>
      </c>
      <c r="T10" s="32" t="str">
        <f t="shared" si="0"/>
        <v>土</v>
      </c>
      <c r="U10" s="32" t="str">
        <f t="shared" si="0"/>
        <v>土</v>
      </c>
      <c r="V10" s="32" t="str">
        <f t="shared" si="0"/>
        <v>土</v>
      </c>
      <c r="W10" s="32" t="str">
        <f t="shared" si="0"/>
        <v>土</v>
      </c>
      <c r="X10" s="32" t="str">
        <f t="shared" si="0"/>
        <v>土</v>
      </c>
      <c r="Y10" s="32" t="str">
        <f t="shared" si="0"/>
        <v>土</v>
      </c>
      <c r="Z10" s="32" t="str">
        <f t="shared" si="0"/>
        <v>土</v>
      </c>
      <c r="AA10" s="32" t="str">
        <f t="shared" si="0"/>
        <v>土</v>
      </c>
      <c r="AB10" s="32" t="str">
        <f t="shared" si="0"/>
        <v>土</v>
      </c>
      <c r="AC10" s="32" t="str">
        <f t="shared" si="0"/>
        <v>土</v>
      </c>
      <c r="AD10" s="32" t="str">
        <f t="shared" si="0"/>
        <v>土</v>
      </c>
      <c r="AE10" s="32" t="str">
        <f t="shared" si="0"/>
        <v>土</v>
      </c>
      <c r="AF10" s="33" t="str">
        <f t="shared" si="0"/>
        <v>土</v>
      </c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3"/>
      <c r="HQ10" s="3"/>
      <c r="HR10" s="3"/>
      <c r="HS10" s="3"/>
      <c r="HT10" s="3"/>
      <c r="HU10" s="3"/>
      <c r="HV10" s="3"/>
      <c r="HW10" s="3"/>
      <c r="HX10" s="3"/>
      <c r="HY10" s="3"/>
      <c r="HZ10" s="3"/>
      <c r="IA10" s="3"/>
      <c r="IB10" s="3"/>
      <c r="IC10" s="3"/>
      <c r="ID10" s="3"/>
      <c r="IE10" s="3"/>
      <c r="IF10" s="3"/>
      <c r="IG10" s="3"/>
      <c r="IH10" s="3"/>
      <c r="II10" s="3"/>
      <c r="IJ10" s="3"/>
      <c r="IK10" s="3"/>
      <c r="IL10" s="3"/>
      <c r="IM10" s="3"/>
      <c r="IN10" s="3"/>
      <c r="IO10" s="3"/>
    </row>
    <row r="11" spans="1:254" s="2" customFormat="1" ht="21.65" customHeight="1">
      <c r="A11" s="37"/>
      <c r="B11" s="125" t="s">
        <v>105</v>
      </c>
      <c r="C11" s="126"/>
      <c r="D11" s="97"/>
      <c r="E11" s="40"/>
      <c r="F11" s="98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172"/>
      <c r="T11" s="173"/>
      <c r="U11" s="173"/>
      <c r="V11" s="173"/>
      <c r="W11" s="173"/>
      <c r="X11" s="173"/>
      <c r="Y11" s="173"/>
      <c r="Z11" s="173"/>
      <c r="AA11" s="173"/>
      <c r="AB11" s="173"/>
      <c r="AC11" s="173"/>
      <c r="AD11" s="173"/>
      <c r="AE11" s="173"/>
      <c r="AF11" s="174"/>
      <c r="AG11" s="70"/>
      <c r="AH11" s="70"/>
      <c r="AI11" s="70"/>
      <c r="AJ11" s="75"/>
      <c r="AK11" s="76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3"/>
      <c r="HQ11" s="3"/>
      <c r="HR11" s="3"/>
      <c r="HS11" s="3"/>
      <c r="HT11" s="3"/>
      <c r="HU11" s="3"/>
      <c r="HV11" s="3"/>
      <c r="HW11" s="3"/>
      <c r="HX11" s="3"/>
      <c r="HY11" s="3"/>
      <c r="HZ11" s="3"/>
      <c r="IA11" s="3"/>
      <c r="IB11" s="3"/>
      <c r="IC11" s="3"/>
      <c r="ID11" s="3"/>
      <c r="IE11" s="3"/>
      <c r="IF11" s="3"/>
      <c r="IG11" s="3"/>
      <c r="IH11" s="3"/>
      <c r="II11" s="3"/>
      <c r="IJ11" s="3"/>
      <c r="IK11" s="3"/>
      <c r="IL11" s="3"/>
      <c r="IM11" s="3"/>
      <c r="IN11" s="3"/>
      <c r="IO11" s="3"/>
      <c r="IP11" s="3"/>
      <c r="IQ11" s="3"/>
      <c r="IR11" s="3"/>
      <c r="IS11" s="3"/>
      <c r="IT11" s="3"/>
    </row>
    <row r="12" spans="1:254" s="2" customFormat="1" ht="21.65" customHeight="1">
      <c r="A12" s="37">
        <v>1</v>
      </c>
      <c r="B12" s="123" t="s">
        <v>81</v>
      </c>
      <c r="C12" s="124"/>
      <c r="D12" s="97" t="s">
        <v>108</v>
      </c>
      <c r="E12" s="40"/>
      <c r="F12" s="36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161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2"/>
      <c r="AF12" s="163"/>
      <c r="AG12" s="70"/>
      <c r="AH12" s="70"/>
      <c r="AI12" s="70"/>
      <c r="AJ12" s="75"/>
      <c r="AK12" s="76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3"/>
      <c r="HQ12" s="3"/>
      <c r="HR12" s="3"/>
      <c r="HS12" s="3"/>
      <c r="HT12" s="3"/>
      <c r="HU12" s="3"/>
      <c r="HV12" s="3"/>
      <c r="HW12" s="3"/>
      <c r="HX12" s="3"/>
      <c r="HY12" s="3"/>
      <c r="HZ12" s="3"/>
      <c r="IA12" s="3"/>
      <c r="IB12" s="3"/>
      <c r="IC12" s="3"/>
      <c r="ID12" s="3"/>
      <c r="IE12" s="3"/>
      <c r="IF12" s="3"/>
      <c r="IG12" s="3"/>
      <c r="IH12" s="3"/>
      <c r="II12" s="3"/>
      <c r="IJ12" s="3"/>
      <c r="IK12" s="3"/>
      <c r="IL12" s="3"/>
      <c r="IM12" s="3"/>
      <c r="IN12" s="3"/>
      <c r="IO12" s="3"/>
      <c r="IP12" s="3"/>
      <c r="IQ12" s="3"/>
      <c r="IR12" s="3"/>
      <c r="IS12" s="3"/>
      <c r="IT12" s="3"/>
    </row>
    <row r="13" spans="1:254" s="2" customFormat="1" ht="21.65" customHeight="1">
      <c r="A13" s="37">
        <v>2</v>
      </c>
      <c r="B13" s="123" t="s">
        <v>106</v>
      </c>
      <c r="C13" s="124"/>
      <c r="D13" s="97" t="s">
        <v>107</v>
      </c>
      <c r="E13" s="40"/>
      <c r="F13" s="36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161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2"/>
      <c r="AF13" s="163"/>
      <c r="AG13" s="70"/>
      <c r="AH13" s="70"/>
      <c r="AI13" s="70"/>
      <c r="AJ13" s="75"/>
      <c r="AK13" s="76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3"/>
      <c r="HQ13" s="3"/>
      <c r="HR13" s="3"/>
      <c r="HS13" s="3"/>
      <c r="HT13" s="3"/>
      <c r="HU13" s="3"/>
      <c r="HV13" s="3"/>
      <c r="HW13" s="3"/>
      <c r="HX13" s="3"/>
      <c r="HY13" s="3"/>
      <c r="HZ13" s="3"/>
      <c r="IA13" s="3"/>
      <c r="IB13" s="3"/>
      <c r="IC13" s="3"/>
      <c r="ID13" s="3"/>
      <c r="IE13" s="3"/>
      <c r="IF13" s="3"/>
      <c r="IG13" s="3"/>
      <c r="IH13" s="3"/>
      <c r="II13" s="3"/>
      <c r="IJ13" s="3"/>
      <c r="IK13" s="3"/>
      <c r="IL13" s="3"/>
      <c r="IM13" s="3"/>
      <c r="IN13" s="3"/>
      <c r="IO13" s="3"/>
      <c r="IP13" s="3"/>
      <c r="IQ13" s="3"/>
      <c r="IR13" s="3"/>
      <c r="IS13" s="3"/>
      <c r="IT13" s="3"/>
    </row>
    <row r="14" spans="1:254" s="2" customFormat="1" ht="21.65" customHeight="1">
      <c r="A14" s="37">
        <v>3</v>
      </c>
      <c r="B14" s="123" t="s">
        <v>109</v>
      </c>
      <c r="C14" s="124"/>
      <c r="D14" s="97" t="s">
        <v>107</v>
      </c>
      <c r="E14" s="40"/>
      <c r="F14" s="36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161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  <c r="AD14" s="162"/>
      <c r="AE14" s="162"/>
      <c r="AF14" s="163"/>
      <c r="AG14" s="70"/>
      <c r="AH14" s="70"/>
      <c r="AI14" s="70"/>
      <c r="AJ14" s="75"/>
      <c r="AK14" s="76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3"/>
      <c r="HQ14" s="3"/>
      <c r="HR14" s="3"/>
      <c r="HS14" s="3"/>
      <c r="HT14" s="3"/>
      <c r="HU14" s="3"/>
      <c r="HV14" s="3"/>
      <c r="HW14" s="3"/>
      <c r="HX14" s="3"/>
      <c r="HY14" s="3"/>
      <c r="HZ14" s="3"/>
      <c r="IA14" s="3"/>
      <c r="IB14" s="3"/>
      <c r="IC14" s="3"/>
      <c r="ID14" s="3"/>
      <c r="IE14" s="3"/>
      <c r="IF14" s="3"/>
      <c r="IG14" s="3"/>
      <c r="IH14" s="3"/>
      <c r="II14" s="3"/>
      <c r="IJ14" s="3"/>
      <c r="IK14" s="3"/>
      <c r="IL14" s="3"/>
      <c r="IM14" s="3"/>
      <c r="IN14" s="3"/>
      <c r="IO14" s="3"/>
      <c r="IP14" s="3"/>
      <c r="IQ14" s="3"/>
      <c r="IR14" s="3"/>
      <c r="IS14" s="3"/>
      <c r="IT14" s="3"/>
    </row>
    <row r="15" spans="1:254" s="2" customFormat="1" ht="21.65" customHeight="1">
      <c r="A15" s="37">
        <v>4</v>
      </c>
      <c r="B15" s="123" t="s">
        <v>82</v>
      </c>
      <c r="C15" s="124"/>
      <c r="D15" s="97" t="s">
        <v>108</v>
      </c>
      <c r="E15" s="40"/>
      <c r="F15" s="36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161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2"/>
      <c r="AF15" s="163"/>
      <c r="AG15" s="70"/>
      <c r="AH15" s="70"/>
      <c r="AI15" s="70"/>
      <c r="AJ15" s="75"/>
      <c r="AK15" s="76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3"/>
      <c r="HQ15" s="3"/>
      <c r="HR15" s="3"/>
      <c r="HS15" s="3"/>
      <c r="HT15" s="3"/>
      <c r="HU15" s="3"/>
      <c r="HV15" s="3"/>
      <c r="HW15" s="3"/>
      <c r="HX15" s="3"/>
      <c r="HY15" s="3"/>
      <c r="HZ15" s="3"/>
      <c r="IA15" s="3"/>
      <c r="IB15" s="3"/>
      <c r="IC15" s="3"/>
      <c r="ID15" s="3"/>
      <c r="IE15" s="3"/>
      <c r="IF15" s="3"/>
      <c r="IG15" s="3"/>
      <c r="IH15" s="3"/>
      <c r="II15" s="3"/>
      <c r="IJ15" s="3"/>
      <c r="IK15" s="3"/>
      <c r="IL15" s="3"/>
      <c r="IM15" s="3"/>
      <c r="IN15" s="3"/>
      <c r="IO15" s="3"/>
      <c r="IP15" s="3"/>
      <c r="IQ15" s="3"/>
      <c r="IR15" s="3"/>
      <c r="IS15" s="3"/>
      <c r="IT15" s="3"/>
    </row>
    <row r="16" spans="1:254" s="2" customFormat="1" ht="21.65" customHeight="1">
      <c r="A16" s="37">
        <v>5</v>
      </c>
      <c r="B16" s="123" t="s">
        <v>83</v>
      </c>
      <c r="C16" s="124"/>
      <c r="D16" s="97" t="s">
        <v>108</v>
      </c>
      <c r="E16" s="40"/>
      <c r="F16" s="36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161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2"/>
      <c r="AF16" s="163"/>
      <c r="AG16" s="70"/>
      <c r="AH16" s="70"/>
      <c r="AI16" s="70"/>
      <c r="AJ16" s="75"/>
      <c r="AK16" s="76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3"/>
      <c r="HQ16" s="3"/>
      <c r="HR16" s="3"/>
      <c r="HS16" s="3"/>
      <c r="HT16" s="3"/>
      <c r="HU16" s="3"/>
      <c r="HV16" s="3"/>
      <c r="HW16" s="3"/>
      <c r="HX16" s="3"/>
      <c r="HY16" s="3"/>
      <c r="HZ16" s="3"/>
      <c r="IA16" s="3"/>
      <c r="IB16" s="3"/>
      <c r="IC16" s="3"/>
      <c r="ID16" s="3"/>
      <c r="IE16" s="3"/>
      <c r="IF16" s="3"/>
      <c r="IG16" s="3"/>
      <c r="IH16" s="3"/>
      <c r="II16" s="3"/>
      <c r="IJ16" s="3"/>
      <c r="IK16" s="3"/>
      <c r="IL16" s="3"/>
      <c r="IM16" s="3"/>
      <c r="IN16" s="3"/>
      <c r="IO16" s="3"/>
      <c r="IP16" s="3"/>
      <c r="IQ16" s="3"/>
      <c r="IR16" s="3"/>
      <c r="IS16" s="3"/>
      <c r="IT16" s="3"/>
    </row>
    <row r="17" spans="1:254" s="2" customFormat="1" ht="21.65" customHeight="1">
      <c r="A17" s="37">
        <v>6</v>
      </c>
      <c r="B17" s="123" t="s">
        <v>84</v>
      </c>
      <c r="C17" s="124"/>
      <c r="D17" s="97" t="s">
        <v>108</v>
      </c>
      <c r="E17" s="40"/>
      <c r="F17" s="36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161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2"/>
      <c r="AF17" s="163"/>
      <c r="AG17" s="70"/>
      <c r="AH17" s="70"/>
      <c r="AI17" s="70"/>
      <c r="AJ17" s="75"/>
      <c r="AK17" s="76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3"/>
      <c r="HQ17" s="3"/>
      <c r="HR17" s="3"/>
      <c r="HS17" s="3"/>
      <c r="HT17" s="3"/>
      <c r="HU17" s="3"/>
      <c r="HV17" s="3"/>
      <c r="HW17" s="3"/>
      <c r="HX17" s="3"/>
      <c r="HY17" s="3"/>
      <c r="HZ17" s="3"/>
      <c r="IA17" s="3"/>
      <c r="IB17" s="3"/>
      <c r="IC17" s="3"/>
      <c r="ID17" s="3"/>
      <c r="IE17" s="3"/>
      <c r="IF17" s="3"/>
      <c r="IG17" s="3"/>
      <c r="IH17" s="3"/>
      <c r="II17" s="3"/>
      <c r="IJ17" s="3"/>
      <c r="IK17" s="3"/>
      <c r="IL17" s="3"/>
      <c r="IM17" s="3"/>
      <c r="IN17" s="3"/>
      <c r="IO17" s="3"/>
      <c r="IP17" s="3"/>
      <c r="IQ17" s="3"/>
      <c r="IR17" s="3"/>
      <c r="IS17" s="3"/>
      <c r="IT17" s="3"/>
    </row>
    <row r="18" spans="1:254" s="2" customFormat="1" ht="21.65" customHeight="1">
      <c r="A18" s="37">
        <v>7</v>
      </c>
      <c r="B18" s="123" t="s">
        <v>85</v>
      </c>
      <c r="C18" s="124"/>
      <c r="D18" s="97" t="s">
        <v>108</v>
      </c>
      <c r="E18" s="40"/>
      <c r="F18" s="36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161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2"/>
      <c r="AF18" s="163"/>
      <c r="AG18" s="70"/>
      <c r="AH18" s="70"/>
      <c r="AI18" s="70"/>
      <c r="AJ18" s="75"/>
      <c r="AK18" s="76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</row>
    <row r="19" spans="1:254" s="2" customFormat="1" ht="21.65" customHeight="1">
      <c r="A19" s="37">
        <v>8</v>
      </c>
      <c r="B19" s="123" t="s">
        <v>86</v>
      </c>
      <c r="C19" s="124"/>
      <c r="D19" s="97" t="s">
        <v>108</v>
      </c>
      <c r="E19" s="40"/>
      <c r="F19" s="36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161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2"/>
      <c r="AF19" s="163"/>
      <c r="AG19" s="70"/>
      <c r="AH19" s="70"/>
      <c r="AI19" s="70"/>
      <c r="AJ19" s="75"/>
      <c r="AK19" s="76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3"/>
      <c r="HQ19" s="3"/>
      <c r="HR19" s="3"/>
      <c r="HS19" s="3"/>
      <c r="HT19" s="3"/>
      <c r="HU19" s="3"/>
      <c r="HV19" s="3"/>
      <c r="HW19" s="3"/>
      <c r="HX19" s="3"/>
      <c r="HY19" s="3"/>
      <c r="HZ19" s="3"/>
      <c r="IA19" s="3"/>
      <c r="IB19" s="3"/>
      <c r="IC19" s="3"/>
      <c r="ID19" s="3"/>
      <c r="IE19" s="3"/>
      <c r="IF19" s="3"/>
      <c r="IG19" s="3"/>
      <c r="IH19" s="3"/>
      <c r="II19" s="3"/>
      <c r="IJ19" s="3"/>
      <c r="IK19" s="3"/>
      <c r="IL19" s="3"/>
      <c r="IM19" s="3"/>
      <c r="IN19" s="3"/>
      <c r="IO19" s="3"/>
      <c r="IP19" s="3"/>
      <c r="IQ19" s="3"/>
      <c r="IR19" s="3"/>
      <c r="IS19" s="3"/>
      <c r="IT19" s="3"/>
    </row>
    <row r="20" spans="1:254" s="2" customFormat="1" ht="23" customHeight="1">
      <c r="A20" s="34"/>
      <c r="B20" s="170" t="s">
        <v>120</v>
      </c>
      <c r="C20" s="171"/>
      <c r="D20" s="35"/>
      <c r="E20" s="35"/>
      <c r="F20" s="36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161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2"/>
      <c r="AF20" s="16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3"/>
      <c r="HQ20" s="3"/>
      <c r="HR20" s="3"/>
      <c r="HS20" s="3"/>
      <c r="HT20" s="3"/>
      <c r="HU20" s="3"/>
      <c r="HV20" s="3"/>
      <c r="HW20" s="3"/>
      <c r="HX20" s="3"/>
      <c r="HY20" s="3"/>
      <c r="HZ20" s="3"/>
      <c r="IA20" s="3"/>
      <c r="IB20" s="3"/>
      <c r="IC20" s="3"/>
      <c r="ID20" s="3"/>
      <c r="IE20" s="3"/>
      <c r="IF20" s="3"/>
      <c r="IG20" s="3"/>
      <c r="IH20" s="3"/>
      <c r="II20" s="3"/>
      <c r="IJ20" s="3"/>
      <c r="IK20" s="3"/>
      <c r="IL20" s="3"/>
      <c r="IM20" s="3"/>
      <c r="IN20" s="3"/>
      <c r="IO20" s="3"/>
    </row>
    <row r="21" spans="1:254" s="2" customFormat="1" ht="23" customHeight="1">
      <c r="A21" s="37">
        <v>1</v>
      </c>
      <c r="B21" s="112" t="s">
        <v>87</v>
      </c>
      <c r="C21" s="113"/>
      <c r="D21" s="97"/>
      <c r="E21" s="97" t="s">
        <v>42</v>
      </c>
      <c r="F21" s="36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161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2"/>
      <c r="AF21" s="16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3"/>
      <c r="HQ21" s="3"/>
      <c r="HR21" s="3"/>
      <c r="HS21" s="3"/>
      <c r="HT21" s="3"/>
      <c r="HU21" s="3"/>
      <c r="HV21" s="3"/>
      <c r="HW21" s="3"/>
      <c r="HX21" s="3"/>
      <c r="HY21" s="3"/>
      <c r="HZ21" s="3"/>
      <c r="IA21" s="3"/>
      <c r="IB21" s="3"/>
      <c r="IC21" s="3"/>
      <c r="ID21" s="3"/>
      <c r="IE21" s="3"/>
      <c r="IF21" s="3"/>
      <c r="IG21" s="3"/>
      <c r="IH21" s="3"/>
      <c r="II21" s="3"/>
      <c r="IJ21" s="3"/>
      <c r="IK21" s="3"/>
      <c r="IL21" s="3"/>
      <c r="IM21" s="3"/>
      <c r="IN21" s="3"/>
      <c r="IO21" s="3"/>
    </row>
    <row r="22" spans="1:254" s="2" customFormat="1" ht="23" customHeight="1">
      <c r="A22" s="37">
        <v>2</v>
      </c>
      <c r="B22" s="112" t="s">
        <v>88</v>
      </c>
      <c r="C22" s="113"/>
      <c r="D22" s="97"/>
      <c r="E22" s="97" t="s">
        <v>43</v>
      </c>
      <c r="F22" s="36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161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2"/>
      <c r="AF22" s="16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3"/>
      <c r="HQ22" s="3"/>
      <c r="HR22" s="3"/>
      <c r="HS22" s="3"/>
      <c r="HT22" s="3"/>
      <c r="HU22" s="3"/>
      <c r="HV22" s="3"/>
      <c r="HW22" s="3"/>
      <c r="HX22" s="3"/>
      <c r="HY22" s="3"/>
      <c r="HZ22" s="3"/>
      <c r="IA22" s="3"/>
      <c r="IB22" s="3"/>
      <c r="IC22" s="3"/>
      <c r="ID22" s="3"/>
      <c r="IE22" s="3"/>
      <c r="IF22" s="3"/>
      <c r="IG22" s="3"/>
      <c r="IH22" s="3"/>
      <c r="II22" s="3"/>
      <c r="IJ22" s="3"/>
      <c r="IK22" s="3"/>
      <c r="IL22" s="3"/>
      <c r="IM22" s="3"/>
      <c r="IN22" s="3"/>
      <c r="IO22" s="3"/>
    </row>
    <row r="23" spans="1:254" s="2" customFormat="1" ht="23" customHeight="1">
      <c r="A23" s="109" t="s">
        <v>111</v>
      </c>
      <c r="B23" s="175" t="s">
        <v>115</v>
      </c>
      <c r="C23" s="176"/>
      <c r="D23" s="97" t="s">
        <v>110</v>
      </c>
      <c r="E23" s="97" t="s">
        <v>44</v>
      </c>
      <c r="F23" s="36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161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2"/>
      <c r="AF23" s="16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3"/>
      <c r="HQ23" s="3"/>
      <c r="HR23" s="3"/>
      <c r="HS23" s="3"/>
      <c r="HT23" s="3"/>
      <c r="HU23" s="3"/>
      <c r="HV23" s="3"/>
      <c r="HW23" s="3"/>
      <c r="HX23" s="3"/>
      <c r="HY23" s="3"/>
      <c r="HZ23" s="3"/>
      <c r="IA23" s="3"/>
      <c r="IB23" s="3"/>
      <c r="IC23" s="3"/>
      <c r="ID23" s="3"/>
      <c r="IE23" s="3"/>
      <c r="IF23" s="3"/>
      <c r="IG23" s="3"/>
      <c r="IH23" s="3"/>
      <c r="II23" s="3"/>
      <c r="IJ23" s="3"/>
      <c r="IK23" s="3"/>
      <c r="IL23" s="3"/>
      <c r="IM23" s="3"/>
      <c r="IN23" s="3"/>
      <c r="IO23" s="3"/>
    </row>
    <row r="24" spans="1:254" s="2" customFormat="1" ht="23" customHeight="1">
      <c r="A24" s="109" t="s">
        <v>112</v>
      </c>
      <c r="B24" s="112" t="s">
        <v>113</v>
      </c>
      <c r="C24" s="113"/>
      <c r="D24" s="97" t="s">
        <v>110</v>
      </c>
      <c r="E24" s="97" t="s">
        <v>44</v>
      </c>
      <c r="F24" s="36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161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2"/>
      <c r="AF24" s="16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3"/>
      <c r="HQ24" s="3"/>
      <c r="HR24" s="3"/>
      <c r="HS24" s="3"/>
      <c r="HT24" s="3"/>
      <c r="HU24" s="3"/>
      <c r="HV24" s="3"/>
      <c r="HW24" s="3"/>
      <c r="HX24" s="3"/>
      <c r="HY24" s="3"/>
      <c r="HZ24" s="3"/>
      <c r="IA24" s="3"/>
      <c r="IB24" s="3"/>
      <c r="IC24" s="3"/>
      <c r="ID24" s="3"/>
      <c r="IE24" s="3"/>
      <c r="IF24" s="3"/>
      <c r="IG24" s="3"/>
      <c r="IH24" s="3"/>
      <c r="II24" s="3"/>
      <c r="IJ24" s="3"/>
      <c r="IK24" s="3"/>
      <c r="IL24" s="3"/>
      <c r="IM24" s="3"/>
      <c r="IN24" s="3"/>
      <c r="IO24" s="3"/>
    </row>
    <row r="25" spans="1:254" s="2" customFormat="1" ht="23" customHeight="1">
      <c r="A25" s="37">
        <v>4</v>
      </c>
      <c r="B25" s="112" t="s">
        <v>89</v>
      </c>
      <c r="C25" s="113"/>
      <c r="D25" s="97"/>
      <c r="E25" s="97" t="s">
        <v>45</v>
      </c>
      <c r="F25" s="36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161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2"/>
      <c r="AF25" s="16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3"/>
      <c r="HQ25" s="3"/>
      <c r="HR25" s="3"/>
      <c r="HS25" s="3"/>
      <c r="HT25" s="3"/>
      <c r="HU25" s="3"/>
      <c r="HV25" s="3"/>
      <c r="HW25" s="3"/>
      <c r="HX25" s="3"/>
      <c r="HY25" s="3"/>
      <c r="HZ25" s="3"/>
      <c r="IA25" s="3"/>
      <c r="IB25" s="3"/>
      <c r="IC25" s="3"/>
      <c r="ID25" s="3"/>
      <c r="IE25" s="3"/>
      <c r="IF25" s="3"/>
      <c r="IG25" s="3"/>
      <c r="IH25" s="3"/>
      <c r="II25" s="3"/>
      <c r="IJ25" s="3"/>
      <c r="IK25" s="3"/>
      <c r="IL25" s="3"/>
      <c r="IM25" s="3"/>
      <c r="IN25" s="3"/>
      <c r="IO25" s="3"/>
    </row>
    <row r="26" spans="1:254" s="2" customFormat="1" ht="23" customHeight="1">
      <c r="A26" s="37">
        <v>5</v>
      </c>
      <c r="B26" s="112" t="s">
        <v>114</v>
      </c>
      <c r="C26" s="113"/>
      <c r="D26" s="97"/>
      <c r="E26" s="97" t="s">
        <v>41</v>
      </c>
      <c r="F26" s="36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161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2"/>
      <c r="AF26" s="16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3"/>
      <c r="HQ26" s="3"/>
      <c r="HR26" s="3"/>
      <c r="HS26" s="3"/>
      <c r="HT26" s="3"/>
      <c r="HU26" s="3"/>
      <c r="HV26" s="3"/>
      <c r="HW26" s="3"/>
      <c r="HX26" s="3"/>
      <c r="HY26" s="3"/>
      <c r="HZ26" s="3"/>
      <c r="IA26" s="3"/>
      <c r="IB26" s="3"/>
      <c r="IC26" s="3"/>
      <c r="ID26" s="3"/>
      <c r="IE26" s="3"/>
      <c r="IF26" s="3"/>
      <c r="IG26" s="3"/>
      <c r="IH26" s="3"/>
      <c r="II26" s="3"/>
      <c r="IJ26" s="3"/>
      <c r="IK26" s="3"/>
      <c r="IL26" s="3"/>
      <c r="IM26" s="3"/>
      <c r="IN26" s="3"/>
      <c r="IO26" s="3"/>
    </row>
    <row r="27" spans="1:254" s="2" customFormat="1" ht="23" customHeight="1">
      <c r="A27" s="37">
        <v>6</v>
      </c>
      <c r="B27" s="112" t="s">
        <v>116</v>
      </c>
      <c r="C27" s="113"/>
      <c r="D27" s="97"/>
      <c r="E27" s="97" t="s">
        <v>41</v>
      </c>
      <c r="F27" s="36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161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2"/>
      <c r="AF27" s="16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3"/>
      <c r="HQ27" s="3"/>
      <c r="HR27" s="3"/>
      <c r="HS27" s="3"/>
      <c r="HT27" s="3"/>
      <c r="HU27" s="3"/>
      <c r="HV27" s="3"/>
      <c r="HW27" s="3"/>
      <c r="HX27" s="3"/>
      <c r="HY27" s="3"/>
      <c r="HZ27" s="3"/>
      <c r="IA27" s="3"/>
      <c r="IB27" s="3"/>
      <c r="IC27" s="3"/>
      <c r="ID27" s="3"/>
      <c r="IE27" s="3"/>
      <c r="IF27" s="3"/>
      <c r="IG27" s="3"/>
      <c r="IH27" s="3"/>
      <c r="II27" s="3"/>
      <c r="IJ27" s="3"/>
      <c r="IK27" s="3"/>
      <c r="IL27" s="3"/>
      <c r="IM27" s="3"/>
      <c r="IN27" s="3"/>
      <c r="IO27" s="3"/>
    </row>
    <row r="28" spans="1:254" s="2" customFormat="1" ht="23" customHeight="1">
      <c r="A28" s="37">
        <v>7</v>
      </c>
      <c r="B28" s="112" t="s">
        <v>90</v>
      </c>
      <c r="C28" s="113"/>
      <c r="D28" s="97"/>
      <c r="E28" s="97" t="s">
        <v>40</v>
      </c>
      <c r="F28" s="36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161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2"/>
      <c r="AF28" s="16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3"/>
      <c r="HQ28" s="3"/>
      <c r="HR28" s="3"/>
      <c r="HS28" s="3"/>
      <c r="HT28" s="3"/>
      <c r="HU28" s="3"/>
      <c r="HV28" s="3"/>
      <c r="HW28" s="3"/>
      <c r="HX28" s="3"/>
      <c r="HY28" s="3"/>
      <c r="HZ28" s="3"/>
      <c r="IA28" s="3"/>
      <c r="IB28" s="3"/>
      <c r="IC28" s="3"/>
      <c r="ID28" s="3"/>
      <c r="IE28" s="3"/>
      <c r="IF28" s="3"/>
      <c r="IG28" s="3"/>
      <c r="IH28" s="3"/>
      <c r="II28" s="3"/>
      <c r="IJ28" s="3"/>
      <c r="IK28" s="3"/>
      <c r="IL28" s="3"/>
      <c r="IM28" s="3"/>
      <c r="IN28" s="3"/>
      <c r="IO28" s="3"/>
    </row>
    <row r="29" spans="1:254" s="2" customFormat="1" ht="23" customHeight="1">
      <c r="A29" s="37"/>
      <c r="B29" s="112"/>
      <c r="C29" s="113"/>
      <c r="D29" s="97"/>
      <c r="E29" s="97" t="s">
        <v>40</v>
      </c>
      <c r="F29" s="36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161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2"/>
      <c r="AF29" s="16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3"/>
      <c r="HQ29" s="3"/>
      <c r="HR29" s="3"/>
      <c r="HS29" s="3"/>
      <c r="HT29" s="3"/>
      <c r="HU29" s="3"/>
      <c r="HV29" s="3"/>
      <c r="HW29" s="3"/>
      <c r="HX29" s="3"/>
      <c r="HY29" s="3"/>
      <c r="HZ29" s="3"/>
      <c r="IA29" s="3"/>
      <c r="IB29" s="3"/>
      <c r="IC29" s="3"/>
      <c r="ID29" s="3"/>
      <c r="IE29" s="3"/>
      <c r="IF29" s="3"/>
      <c r="IG29" s="3"/>
      <c r="IH29" s="3"/>
      <c r="II29" s="3"/>
      <c r="IJ29" s="3"/>
      <c r="IK29" s="3"/>
      <c r="IL29" s="3"/>
      <c r="IM29" s="3"/>
      <c r="IN29" s="3"/>
      <c r="IO29" s="3"/>
    </row>
    <row r="30" spans="1:254" s="2" customFormat="1" ht="23" customHeight="1">
      <c r="A30" s="37"/>
      <c r="B30" s="125" t="s">
        <v>91</v>
      </c>
      <c r="C30" s="126"/>
      <c r="D30" s="97"/>
      <c r="E30" s="97"/>
      <c r="F30" s="36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161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2"/>
      <c r="AF30" s="16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3"/>
      <c r="HQ30" s="3"/>
      <c r="HR30" s="3"/>
      <c r="HS30" s="3"/>
      <c r="HT30" s="3"/>
      <c r="HU30" s="3"/>
      <c r="HV30" s="3"/>
      <c r="HW30" s="3"/>
      <c r="HX30" s="3"/>
      <c r="HY30" s="3"/>
      <c r="HZ30" s="3"/>
      <c r="IA30" s="3"/>
      <c r="IB30" s="3"/>
      <c r="IC30" s="3"/>
      <c r="ID30" s="3"/>
      <c r="IE30" s="3"/>
      <c r="IF30" s="3"/>
      <c r="IG30" s="3"/>
      <c r="IH30" s="3"/>
      <c r="II30" s="3"/>
      <c r="IJ30" s="3"/>
      <c r="IK30" s="3"/>
      <c r="IL30" s="3"/>
      <c r="IM30" s="3"/>
      <c r="IN30" s="3"/>
      <c r="IO30" s="3"/>
    </row>
    <row r="31" spans="1:254" s="2" customFormat="1" ht="23" customHeight="1">
      <c r="A31" s="37"/>
      <c r="B31" s="112" t="s">
        <v>92</v>
      </c>
      <c r="C31" s="113"/>
      <c r="D31" s="116" t="s">
        <v>117</v>
      </c>
      <c r="E31" s="97"/>
      <c r="F31" s="36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161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2"/>
      <c r="AF31" s="16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3"/>
      <c r="HQ31" s="3"/>
      <c r="HR31" s="3"/>
      <c r="HS31" s="3"/>
      <c r="HT31" s="3"/>
      <c r="HU31" s="3"/>
      <c r="HV31" s="3"/>
      <c r="HW31" s="3"/>
      <c r="HX31" s="3"/>
      <c r="HY31" s="3"/>
      <c r="HZ31" s="3"/>
      <c r="IA31" s="3"/>
      <c r="IB31" s="3"/>
      <c r="IC31" s="3"/>
      <c r="ID31" s="3"/>
      <c r="IE31" s="3"/>
      <c r="IF31" s="3"/>
      <c r="IG31" s="3"/>
      <c r="IH31" s="3"/>
      <c r="II31" s="3"/>
      <c r="IJ31" s="3"/>
      <c r="IK31" s="3"/>
      <c r="IL31" s="3"/>
      <c r="IM31" s="3"/>
      <c r="IN31" s="3"/>
      <c r="IO31" s="3"/>
    </row>
    <row r="32" spans="1:254" s="2" customFormat="1" ht="23" customHeight="1">
      <c r="A32" s="37"/>
      <c r="B32" s="112" t="s">
        <v>93</v>
      </c>
      <c r="C32" s="113"/>
      <c r="D32" s="117"/>
      <c r="E32" s="97" t="s">
        <v>47</v>
      </c>
      <c r="F32" s="36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161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2"/>
      <c r="AF32" s="16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3"/>
      <c r="HQ32" s="3"/>
      <c r="HR32" s="3"/>
      <c r="HS32" s="3"/>
      <c r="HT32" s="3"/>
      <c r="HU32" s="3"/>
      <c r="HV32" s="3"/>
      <c r="HW32" s="3"/>
      <c r="HX32" s="3"/>
      <c r="HY32" s="3"/>
      <c r="HZ32" s="3"/>
      <c r="IA32" s="3"/>
      <c r="IB32" s="3"/>
      <c r="IC32" s="3"/>
      <c r="ID32" s="3"/>
      <c r="IE32" s="3"/>
      <c r="IF32" s="3"/>
      <c r="IG32" s="3"/>
      <c r="IH32" s="3"/>
      <c r="II32" s="3"/>
      <c r="IJ32" s="3"/>
      <c r="IK32" s="3"/>
      <c r="IL32" s="3"/>
      <c r="IM32" s="3"/>
      <c r="IN32" s="3"/>
      <c r="IO32" s="3"/>
    </row>
    <row r="33" spans="1:249" s="2" customFormat="1" ht="23" customHeight="1">
      <c r="A33" s="37"/>
      <c r="B33" s="112" t="s">
        <v>94</v>
      </c>
      <c r="C33" s="113"/>
      <c r="D33" s="127"/>
      <c r="E33" s="97"/>
      <c r="F33" s="36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161"/>
      <c r="T33" s="162"/>
      <c r="U33" s="162"/>
      <c r="V33" s="162"/>
      <c r="W33" s="162"/>
      <c r="X33" s="162"/>
      <c r="Y33" s="162"/>
      <c r="Z33" s="162"/>
      <c r="AA33" s="162"/>
      <c r="AB33" s="162"/>
      <c r="AC33" s="162"/>
      <c r="AD33" s="162"/>
      <c r="AE33" s="162"/>
      <c r="AF33" s="16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3"/>
      <c r="HQ33" s="3"/>
      <c r="HR33" s="3"/>
      <c r="HS33" s="3"/>
      <c r="HT33" s="3"/>
      <c r="HU33" s="3"/>
      <c r="HV33" s="3"/>
      <c r="HW33" s="3"/>
      <c r="HX33" s="3"/>
      <c r="HY33" s="3"/>
      <c r="HZ33" s="3"/>
      <c r="IA33" s="3"/>
      <c r="IB33" s="3"/>
      <c r="IC33" s="3"/>
      <c r="ID33" s="3"/>
      <c r="IE33" s="3"/>
      <c r="IF33" s="3"/>
      <c r="IG33" s="3"/>
      <c r="IH33" s="3"/>
      <c r="II33" s="3"/>
      <c r="IJ33" s="3"/>
      <c r="IK33" s="3"/>
      <c r="IL33" s="3"/>
      <c r="IM33" s="3"/>
      <c r="IN33" s="3"/>
      <c r="IO33" s="3"/>
    </row>
    <row r="34" spans="1:249" s="2" customFormat="1" ht="28.25" customHeight="1">
      <c r="A34" s="38"/>
      <c r="B34" s="125" t="s">
        <v>79</v>
      </c>
      <c r="C34" s="126"/>
      <c r="D34" s="35"/>
      <c r="E34" s="35"/>
      <c r="F34" s="39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161"/>
      <c r="T34" s="162"/>
      <c r="U34" s="162"/>
      <c r="V34" s="162"/>
      <c r="W34" s="162"/>
      <c r="X34" s="162"/>
      <c r="Y34" s="162"/>
      <c r="Z34" s="162"/>
      <c r="AA34" s="162"/>
      <c r="AB34" s="162"/>
      <c r="AC34" s="162"/>
      <c r="AD34" s="162"/>
      <c r="AE34" s="162"/>
      <c r="AF34" s="16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3"/>
      <c r="HQ34" s="3"/>
      <c r="HR34" s="3"/>
      <c r="HS34" s="3"/>
      <c r="HT34" s="3"/>
      <c r="HU34" s="3"/>
      <c r="HV34" s="3"/>
      <c r="HW34" s="3"/>
      <c r="HX34" s="3"/>
      <c r="HY34" s="3"/>
      <c r="HZ34" s="3"/>
      <c r="IA34" s="3"/>
      <c r="IB34" s="3"/>
      <c r="IC34" s="3"/>
      <c r="ID34" s="3"/>
      <c r="IE34" s="3"/>
      <c r="IF34" s="3"/>
      <c r="IG34" s="3"/>
      <c r="IH34" s="3"/>
      <c r="II34" s="3"/>
      <c r="IJ34" s="3"/>
      <c r="IK34" s="3"/>
      <c r="IL34" s="3"/>
      <c r="IM34" s="3"/>
      <c r="IN34" s="3"/>
      <c r="IO34" s="3"/>
    </row>
    <row r="35" spans="1:249" s="2" customFormat="1" ht="23" customHeight="1">
      <c r="A35" s="37">
        <v>1</v>
      </c>
      <c r="B35" s="114" t="s">
        <v>104</v>
      </c>
      <c r="C35" s="115"/>
      <c r="D35" s="101"/>
      <c r="E35" s="97" t="s">
        <v>61</v>
      </c>
      <c r="F35" s="116" t="s">
        <v>95</v>
      </c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161"/>
      <c r="T35" s="162"/>
      <c r="U35" s="162"/>
      <c r="V35" s="162"/>
      <c r="W35" s="162"/>
      <c r="X35" s="162"/>
      <c r="Y35" s="162"/>
      <c r="Z35" s="162"/>
      <c r="AA35" s="162"/>
      <c r="AB35" s="162"/>
      <c r="AC35" s="162"/>
      <c r="AD35" s="162"/>
      <c r="AE35" s="162"/>
      <c r="AF35" s="16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3"/>
      <c r="HQ35" s="3"/>
      <c r="HR35" s="3"/>
      <c r="HS35" s="3"/>
      <c r="HT35" s="3"/>
      <c r="HU35" s="3"/>
      <c r="HV35" s="3"/>
      <c r="HW35" s="3"/>
      <c r="HX35" s="3"/>
      <c r="HY35" s="3"/>
      <c r="HZ35" s="3"/>
      <c r="IA35" s="3"/>
      <c r="IB35" s="3"/>
      <c r="IC35" s="3"/>
      <c r="ID35" s="3"/>
      <c r="IE35" s="3"/>
      <c r="IF35" s="3"/>
      <c r="IG35" s="3"/>
      <c r="IH35" s="3"/>
      <c r="II35" s="3"/>
      <c r="IJ35" s="3"/>
      <c r="IK35" s="3"/>
      <c r="IL35" s="3"/>
      <c r="IM35" s="3"/>
      <c r="IN35" s="3"/>
      <c r="IO35" s="3"/>
    </row>
    <row r="36" spans="1:249" s="2" customFormat="1" ht="23" customHeight="1">
      <c r="A36" s="37">
        <v>2</v>
      </c>
      <c r="B36" s="112"/>
      <c r="C36" s="113"/>
      <c r="D36" s="101"/>
      <c r="E36" s="97" t="s">
        <v>62</v>
      </c>
      <c r="F36" s="117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161"/>
      <c r="T36" s="162"/>
      <c r="U36" s="162"/>
      <c r="V36" s="162"/>
      <c r="W36" s="162"/>
      <c r="X36" s="162"/>
      <c r="Y36" s="162"/>
      <c r="Z36" s="162"/>
      <c r="AA36" s="162"/>
      <c r="AB36" s="162"/>
      <c r="AC36" s="162"/>
      <c r="AD36" s="162"/>
      <c r="AE36" s="162"/>
      <c r="AF36" s="16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3"/>
      <c r="HQ36" s="3"/>
      <c r="HR36" s="3"/>
      <c r="HS36" s="3"/>
      <c r="HT36" s="3"/>
      <c r="HU36" s="3"/>
      <c r="HV36" s="3"/>
      <c r="HW36" s="3"/>
      <c r="HX36" s="3"/>
      <c r="HY36" s="3"/>
      <c r="HZ36" s="3"/>
      <c r="IA36" s="3"/>
      <c r="IB36" s="3"/>
      <c r="IC36" s="3"/>
      <c r="ID36" s="3"/>
      <c r="IE36" s="3"/>
      <c r="IF36" s="3"/>
      <c r="IG36" s="3"/>
      <c r="IH36" s="3"/>
      <c r="II36" s="3"/>
      <c r="IJ36" s="3"/>
      <c r="IK36" s="3"/>
      <c r="IL36" s="3"/>
      <c r="IM36" s="3"/>
      <c r="IN36" s="3"/>
      <c r="IO36" s="3"/>
    </row>
    <row r="37" spans="1:249" s="2" customFormat="1" ht="23" customHeight="1">
      <c r="A37" s="37">
        <v>3</v>
      </c>
      <c r="B37" s="114"/>
      <c r="C37" s="115"/>
      <c r="D37" s="97"/>
      <c r="E37" s="35"/>
      <c r="F37" s="117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161"/>
      <c r="T37" s="162"/>
      <c r="U37" s="162"/>
      <c r="V37" s="162"/>
      <c r="W37" s="162"/>
      <c r="X37" s="162"/>
      <c r="Y37" s="162"/>
      <c r="Z37" s="162"/>
      <c r="AA37" s="162"/>
      <c r="AB37" s="162"/>
      <c r="AC37" s="162"/>
      <c r="AD37" s="162"/>
      <c r="AE37" s="162"/>
      <c r="AF37" s="16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3"/>
      <c r="HQ37" s="3"/>
      <c r="HR37" s="3"/>
      <c r="HS37" s="3"/>
      <c r="HT37" s="3"/>
      <c r="HU37" s="3"/>
      <c r="HV37" s="3"/>
      <c r="HW37" s="3"/>
      <c r="HX37" s="3"/>
      <c r="HY37" s="3"/>
      <c r="HZ37" s="3"/>
      <c r="IA37" s="3"/>
      <c r="IB37" s="3"/>
      <c r="IC37" s="3"/>
      <c r="ID37" s="3"/>
      <c r="IE37" s="3"/>
      <c r="IF37" s="3"/>
      <c r="IG37" s="3"/>
      <c r="IH37" s="3"/>
      <c r="II37" s="3"/>
      <c r="IJ37" s="3"/>
      <c r="IK37" s="3"/>
      <c r="IL37" s="3"/>
      <c r="IM37" s="3"/>
      <c r="IN37" s="3"/>
      <c r="IO37" s="3"/>
    </row>
    <row r="38" spans="1:249" s="2" customFormat="1" ht="42" customHeight="1" thickBot="1">
      <c r="A38" s="41"/>
      <c r="B38" s="121" t="s">
        <v>63</v>
      </c>
      <c r="C38" s="122"/>
      <c r="D38" s="42" t="s">
        <v>16</v>
      </c>
      <c r="E38" s="100"/>
      <c r="F38" s="43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8"/>
      <c r="AF38" s="79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3"/>
      <c r="HQ38" s="3"/>
      <c r="HR38" s="3"/>
      <c r="HS38" s="3"/>
      <c r="HT38" s="3"/>
      <c r="HU38" s="3"/>
      <c r="HV38" s="3"/>
      <c r="HW38" s="3"/>
      <c r="HX38" s="3"/>
      <c r="HY38" s="3"/>
      <c r="HZ38" s="3"/>
      <c r="IA38" s="3"/>
      <c r="IB38" s="3"/>
      <c r="IC38" s="3"/>
      <c r="ID38" s="3"/>
      <c r="IE38" s="3"/>
      <c r="IF38" s="3"/>
      <c r="IG38" s="3"/>
      <c r="IH38" s="3"/>
      <c r="II38" s="3"/>
      <c r="IJ38" s="3"/>
      <c r="IK38" s="3"/>
      <c r="IL38" s="3"/>
      <c r="IM38" s="3"/>
      <c r="IN38" s="3"/>
      <c r="IO38" s="3"/>
    </row>
    <row r="39" spans="1:249" s="2" customFormat="1" ht="23" hidden="1" customHeight="1" thickBot="1">
      <c r="A39" s="53"/>
      <c r="B39" s="54" t="s">
        <v>17</v>
      </c>
      <c r="C39" s="54"/>
      <c r="D39" s="44"/>
      <c r="E39" s="44"/>
      <c r="F39" s="57"/>
      <c r="G39" s="80"/>
      <c r="H39" s="119"/>
      <c r="I39" s="119"/>
      <c r="J39" s="119"/>
      <c r="K39" s="119"/>
      <c r="L39" s="81"/>
      <c r="M39" s="80"/>
      <c r="N39" s="119"/>
      <c r="O39" s="119"/>
      <c r="P39" s="119"/>
      <c r="Q39" s="119"/>
      <c r="R39" s="81"/>
      <c r="S39" s="80"/>
      <c r="T39" s="119"/>
      <c r="U39" s="119"/>
      <c r="V39" s="119"/>
      <c r="W39" s="80"/>
      <c r="X39" s="119"/>
      <c r="Y39" s="119"/>
      <c r="Z39" s="119"/>
      <c r="AA39" s="81"/>
      <c r="AB39" s="80"/>
      <c r="AC39" s="119"/>
      <c r="AD39" s="119"/>
      <c r="AE39" s="55"/>
      <c r="AF39" s="56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3"/>
      <c r="HQ39" s="3"/>
      <c r="HR39" s="3"/>
      <c r="HS39" s="3"/>
      <c r="HT39" s="3"/>
      <c r="HU39" s="3"/>
      <c r="HV39" s="3"/>
      <c r="HW39" s="3"/>
      <c r="HX39" s="3"/>
      <c r="HY39" s="3"/>
      <c r="HZ39" s="3"/>
      <c r="IA39" s="3"/>
      <c r="IB39" s="3"/>
      <c r="IC39" s="3"/>
      <c r="ID39" s="3"/>
      <c r="IE39" s="3"/>
      <c r="IF39" s="3"/>
      <c r="IG39" s="3"/>
      <c r="IH39" s="3"/>
      <c r="II39" s="3"/>
      <c r="IJ39" s="3"/>
      <c r="IK39" s="3"/>
      <c r="IL39" s="3"/>
      <c r="IM39" s="3"/>
      <c r="IN39" s="3"/>
      <c r="IO39" s="3"/>
    </row>
    <row r="40" spans="1:249" s="2" customFormat="1" ht="23" hidden="1" customHeight="1">
      <c r="A40" s="45"/>
      <c r="B40" s="46"/>
      <c r="C40" s="93" t="s">
        <v>27</v>
      </c>
      <c r="D40" s="95" t="s">
        <v>22</v>
      </c>
      <c r="E40" s="95"/>
      <c r="F40" s="58"/>
      <c r="G40" s="82"/>
      <c r="H40" s="120"/>
      <c r="I40" s="120"/>
      <c r="J40" s="120"/>
      <c r="K40" s="120"/>
      <c r="L40" s="83"/>
      <c r="M40" s="82"/>
      <c r="N40" s="120"/>
      <c r="O40" s="120"/>
      <c r="P40" s="120"/>
      <c r="Q40" s="120"/>
      <c r="R40" s="83"/>
      <c r="S40" s="82"/>
      <c r="T40" s="120"/>
      <c r="U40" s="120"/>
      <c r="V40" s="120"/>
      <c r="W40" s="82"/>
      <c r="X40" s="120"/>
      <c r="Y40" s="120"/>
      <c r="Z40" s="120"/>
      <c r="AA40" s="83"/>
      <c r="AB40" s="82"/>
      <c r="AC40" s="120"/>
      <c r="AD40" s="120"/>
      <c r="AE40" s="61"/>
      <c r="AF40" s="84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3"/>
      <c r="HQ40" s="3"/>
      <c r="HR40" s="3"/>
      <c r="HS40" s="3"/>
      <c r="HT40" s="3"/>
      <c r="HU40" s="3"/>
      <c r="HV40" s="3"/>
      <c r="HW40" s="3"/>
      <c r="HX40" s="3"/>
      <c r="HY40" s="3"/>
      <c r="HZ40" s="3"/>
      <c r="IA40" s="3"/>
      <c r="IB40" s="3"/>
      <c r="IC40" s="3"/>
      <c r="ID40" s="3"/>
      <c r="IE40" s="3"/>
      <c r="IF40" s="3"/>
      <c r="IG40" s="3"/>
      <c r="IH40" s="3"/>
      <c r="II40" s="3"/>
      <c r="IJ40" s="3"/>
      <c r="IK40" s="3"/>
      <c r="IL40" s="3"/>
      <c r="IM40" s="3"/>
      <c r="IN40" s="3"/>
      <c r="IO40" s="3"/>
    </row>
    <row r="41" spans="1:249" s="2" customFormat="1" ht="23" hidden="1" customHeight="1">
      <c r="A41" s="47"/>
      <c r="B41" s="46"/>
      <c r="C41" s="94" t="s">
        <v>28</v>
      </c>
      <c r="D41" s="96" t="s">
        <v>24</v>
      </c>
      <c r="E41" s="96"/>
      <c r="F41" s="59"/>
      <c r="G41" s="82"/>
      <c r="H41" s="120"/>
      <c r="I41" s="120"/>
      <c r="J41" s="120"/>
      <c r="K41" s="120"/>
      <c r="L41" s="85"/>
      <c r="M41" s="82"/>
      <c r="N41" s="120"/>
      <c r="O41" s="120"/>
      <c r="P41" s="120"/>
      <c r="Q41" s="120"/>
      <c r="R41" s="85"/>
      <c r="S41" s="82"/>
      <c r="T41" s="120"/>
      <c r="U41" s="120"/>
      <c r="V41" s="120"/>
      <c r="W41" s="82"/>
      <c r="X41" s="120"/>
      <c r="Y41" s="120"/>
      <c r="Z41" s="120"/>
      <c r="AA41" s="85"/>
      <c r="AB41" s="82"/>
      <c r="AC41" s="120"/>
      <c r="AD41" s="120"/>
      <c r="AE41" s="62"/>
      <c r="AF41" s="86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3"/>
      <c r="HQ41" s="3"/>
      <c r="HR41" s="3"/>
      <c r="HS41" s="3"/>
      <c r="HT41" s="3"/>
      <c r="HU41" s="3"/>
      <c r="HV41" s="3"/>
      <c r="HW41" s="3"/>
      <c r="HX41" s="3"/>
      <c r="HY41" s="3"/>
      <c r="HZ41" s="3"/>
      <c r="IA41" s="3"/>
      <c r="IB41" s="3"/>
      <c r="IC41" s="3"/>
      <c r="ID41" s="3"/>
      <c r="IE41" s="3"/>
      <c r="IF41" s="3"/>
      <c r="IG41" s="3"/>
      <c r="IH41" s="3"/>
      <c r="II41" s="3"/>
      <c r="IJ41" s="3"/>
      <c r="IK41" s="3"/>
      <c r="IL41" s="3"/>
      <c r="IM41" s="3"/>
      <c r="IN41" s="3"/>
      <c r="IO41" s="3"/>
    </row>
    <row r="42" spans="1:249" s="2" customFormat="1" ht="23" hidden="1" customHeight="1">
      <c r="A42" s="48"/>
      <c r="B42" s="46"/>
      <c r="C42" s="94" t="s">
        <v>29</v>
      </c>
      <c r="D42" s="96" t="s">
        <v>25</v>
      </c>
      <c r="E42" s="96"/>
      <c r="F42" s="59"/>
      <c r="G42" s="82"/>
      <c r="H42" s="120"/>
      <c r="I42" s="120"/>
      <c r="J42" s="120"/>
      <c r="K42" s="120"/>
      <c r="L42" s="85"/>
      <c r="M42" s="82"/>
      <c r="N42" s="120"/>
      <c r="O42" s="120"/>
      <c r="P42" s="120"/>
      <c r="Q42" s="120"/>
      <c r="R42" s="85"/>
      <c r="S42" s="82"/>
      <c r="T42" s="120"/>
      <c r="U42" s="120"/>
      <c r="V42" s="120"/>
      <c r="W42" s="82"/>
      <c r="X42" s="120"/>
      <c r="Y42" s="120"/>
      <c r="Z42" s="120"/>
      <c r="AA42" s="85"/>
      <c r="AB42" s="82"/>
      <c r="AC42" s="120"/>
      <c r="AD42" s="120"/>
      <c r="AE42" s="62"/>
      <c r="AF42" s="86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3"/>
      <c r="HQ42" s="3"/>
      <c r="HR42" s="3"/>
      <c r="HS42" s="3"/>
      <c r="HT42" s="3"/>
      <c r="HU42" s="3"/>
      <c r="HV42" s="3"/>
      <c r="HW42" s="3"/>
      <c r="HX42" s="3"/>
      <c r="HY42" s="3"/>
      <c r="HZ42" s="3"/>
      <c r="IA42" s="3"/>
      <c r="IB42" s="3"/>
      <c r="IC42" s="3"/>
      <c r="ID42" s="3"/>
      <c r="IE42" s="3"/>
      <c r="IF42" s="3"/>
      <c r="IG42" s="3"/>
      <c r="IH42" s="3"/>
      <c r="II42" s="3"/>
      <c r="IJ42" s="3"/>
      <c r="IK42" s="3"/>
      <c r="IL42" s="3"/>
      <c r="IM42" s="3"/>
      <c r="IN42" s="3"/>
      <c r="IO42" s="3"/>
    </row>
    <row r="43" spans="1:249" s="2" customFormat="1" ht="18" hidden="1" customHeight="1">
      <c r="A43" s="49"/>
      <c r="B43" s="50"/>
      <c r="C43" s="50"/>
      <c r="D43" s="50"/>
      <c r="E43" s="50"/>
      <c r="F43" s="60"/>
      <c r="G43" s="87"/>
      <c r="H43" s="118"/>
      <c r="I43" s="118"/>
      <c r="J43" s="118"/>
      <c r="K43" s="118"/>
      <c r="L43" s="88"/>
      <c r="M43" s="87"/>
      <c r="N43" s="118"/>
      <c r="O43" s="118"/>
      <c r="P43" s="118"/>
      <c r="Q43" s="118"/>
      <c r="R43" s="88"/>
      <c r="S43" s="87"/>
      <c r="T43" s="118"/>
      <c r="U43" s="118"/>
      <c r="V43" s="118"/>
      <c r="W43" s="87"/>
      <c r="X43" s="118"/>
      <c r="Y43" s="118"/>
      <c r="Z43" s="118"/>
      <c r="AA43" s="88"/>
      <c r="AB43" s="87"/>
      <c r="AC43" s="118"/>
      <c r="AD43" s="118"/>
      <c r="AE43" s="63"/>
      <c r="AF43" s="89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3"/>
      <c r="HQ43" s="3"/>
      <c r="HR43" s="3"/>
      <c r="HS43" s="3"/>
      <c r="HT43" s="3"/>
      <c r="HU43" s="3"/>
      <c r="HV43" s="3"/>
      <c r="HW43" s="3"/>
      <c r="HX43" s="3"/>
      <c r="HY43" s="3"/>
      <c r="HZ43" s="3"/>
      <c r="IA43" s="3"/>
      <c r="IB43" s="3"/>
      <c r="IC43" s="3"/>
      <c r="ID43" s="3"/>
      <c r="IE43" s="3"/>
      <c r="IF43" s="3"/>
      <c r="IG43" s="3"/>
      <c r="IH43" s="3"/>
      <c r="II43" s="3"/>
      <c r="IJ43" s="3"/>
      <c r="IK43" s="3"/>
      <c r="IL43" s="3"/>
      <c r="IM43" s="3"/>
      <c r="IN43" s="3"/>
      <c r="IO43" s="3"/>
    </row>
    <row r="45" spans="1:249">
      <c r="F45" s="64" t="s">
        <v>22</v>
      </c>
    </row>
    <row r="46" spans="1:249">
      <c r="A46" s="52"/>
      <c r="B46" s="52"/>
      <c r="C46" s="52"/>
      <c r="F46" s="64" t="s">
        <v>24</v>
      </c>
    </row>
    <row r="47" spans="1:249">
      <c r="A47" s="52"/>
      <c r="B47" s="66" t="s">
        <v>18</v>
      </c>
      <c r="C47" s="66"/>
      <c r="F47" s="64" t="s">
        <v>25</v>
      </c>
    </row>
    <row r="48" spans="1:249">
      <c r="A48" s="52"/>
      <c r="B48" s="66" t="s">
        <v>19</v>
      </c>
      <c r="C48" s="66"/>
      <c r="F48" s="65"/>
    </row>
    <row r="49" spans="1:3">
      <c r="A49" s="52"/>
      <c r="B49" s="66" t="s">
        <v>20</v>
      </c>
      <c r="C49" s="66"/>
    </row>
    <row r="50" spans="1:3">
      <c r="A50" s="52"/>
      <c r="B50" s="52"/>
      <c r="C50" s="52"/>
    </row>
  </sheetData>
  <mergeCells count="100">
    <mergeCell ref="B16:C16"/>
    <mergeCell ref="B17:C17"/>
    <mergeCell ref="B18:C18"/>
    <mergeCell ref="S32:AF32"/>
    <mergeCell ref="S33:AF33"/>
    <mergeCell ref="S36:AF36"/>
    <mergeCell ref="S37:AF37"/>
    <mergeCell ref="S25:AF25"/>
    <mergeCell ref="S26:AF26"/>
    <mergeCell ref="S28:AF28"/>
    <mergeCell ref="S29:AF29"/>
    <mergeCell ref="S30:AF30"/>
    <mergeCell ref="S31:AF31"/>
    <mergeCell ref="S27:AF27"/>
    <mergeCell ref="AC43:AD43"/>
    <mergeCell ref="S9:AF9"/>
    <mergeCell ref="S20:AF20"/>
    <mergeCell ref="S21:AF21"/>
    <mergeCell ref="S22:AF22"/>
    <mergeCell ref="S23:AF23"/>
    <mergeCell ref="T41:V41"/>
    <mergeCell ref="X41:Z41"/>
    <mergeCell ref="AC41:AD41"/>
    <mergeCell ref="T42:V42"/>
    <mergeCell ref="X42:Z42"/>
    <mergeCell ref="AC42:AD42"/>
    <mergeCell ref="T39:V39"/>
    <mergeCell ref="X39:Z39"/>
    <mergeCell ref="S34:AF34"/>
    <mergeCell ref="S35:AF35"/>
    <mergeCell ref="B38:C38"/>
    <mergeCell ref="H43:K43"/>
    <mergeCell ref="N43:Q43"/>
    <mergeCell ref="T43:V43"/>
    <mergeCell ref="X43:Z43"/>
    <mergeCell ref="H41:K41"/>
    <mergeCell ref="N41:Q41"/>
    <mergeCell ref="H42:K42"/>
    <mergeCell ref="N42:Q42"/>
    <mergeCell ref="H39:K39"/>
    <mergeCell ref="N39:Q39"/>
    <mergeCell ref="AC39:AD39"/>
    <mergeCell ref="H40:K40"/>
    <mergeCell ref="N40:Q40"/>
    <mergeCell ref="T40:V40"/>
    <mergeCell ref="X40:Z40"/>
    <mergeCell ref="AC40:AD40"/>
    <mergeCell ref="B32:C32"/>
    <mergeCell ref="B33:C33"/>
    <mergeCell ref="B34:C34"/>
    <mergeCell ref="B35:C35"/>
    <mergeCell ref="F35:F37"/>
    <mergeCell ref="B36:C36"/>
    <mergeCell ref="B37:C37"/>
    <mergeCell ref="D31:D33"/>
    <mergeCell ref="B26:C26"/>
    <mergeCell ref="B28:C28"/>
    <mergeCell ref="B29:C29"/>
    <mergeCell ref="B30:C30"/>
    <mergeCell ref="B31:C31"/>
    <mergeCell ref="B27:C27"/>
    <mergeCell ref="AA4:AC4"/>
    <mergeCell ref="B21:C21"/>
    <mergeCell ref="B22:C22"/>
    <mergeCell ref="B23:C23"/>
    <mergeCell ref="B25:C25"/>
    <mergeCell ref="S14:AF14"/>
    <mergeCell ref="S15:AF15"/>
    <mergeCell ref="S16:AF16"/>
    <mergeCell ref="S17:AF17"/>
    <mergeCell ref="S18:AF18"/>
    <mergeCell ref="S19:AF19"/>
    <mergeCell ref="B11:C11"/>
    <mergeCell ref="B12:C12"/>
    <mergeCell ref="B13:C13"/>
    <mergeCell ref="B14:C14"/>
    <mergeCell ref="B15:C15"/>
    <mergeCell ref="B24:C24"/>
    <mergeCell ref="S24:AF24"/>
    <mergeCell ref="T5:W7"/>
    <mergeCell ref="AD4:AF4"/>
    <mergeCell ref="AD5:AF7"/>
    <mergeCell ref="B10:C10"/>
    <mergeCell ref="B20:C20"/>
    <mergeCell ref="B19:C19"/>
    <mergeCell ref="S11:AF11"/>
    <mergeCell ref="S12:AF12"/>
    <mergeCell ref="S13:AF13"/>
    <mergeCell ref="K4:L4"/>
    <mergeCell ref="M4:O4"/>
    <mergeCell ref="P4:R4"/>
    <mergeCell ref="T4:W4"/>
    <mergeCell ref="X4:Z4"/>
    <mergeCell ref="A1:B1"/>
    <mergeCell ref="F1:AF1"/>
    <mergeCell ref="A3:D3"/>
    <mergeCell ref="K3:L3"/>
    <mergeCell ref="M3:O3"/>
    <mergeCell ref="P3:R3"/>
    <mergeCell ref="T3:AF3"/>
  </mergeCells>
  <phoneticPr fontId="3"/>
  <conditionalFormatting sqref="G11:R19 AG11:AK19">
    <cfRule type="expression" dxfId="0" priority="1">
      <formula>TEXT(G11,"aaa")="日"</formula>
    </cfRule>
  </conditionalFormatting>
  <pageMargins left="3.937007874015748E-2" right="3.937007874015748E-2" top="0.35433070866141736" bottom="0.35433070866141736" header="0.11811023622047245" footer="0.11811023622047245"/>
  <pageSetup paperSize="9" scale="5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日常～週</vt:lpstr>
      <vt:lpstr>月1～年1 </vt:lpstr>
      <vt:lpstr>'月1～年1 '!Print_Area</vt:lpstr>
      <vt:lpstr>'日常～週'!Print_Area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kotani 1</dc:creator>
  <cp:lastModifiedBy>minoru kosukegawa</cp:lastModifiedBy>
  <cp:lastPrinted>2026-05-14T07:07:07Z</cp:lastPrinted>
  <dcterms:created xsi:type="dcterms:W3CDTF">2025-07-11T09:40:44Z</dcterms:created>
  <dcterms:modified xsi:type="dcterms:W3CDTF">2026-05-15T00:57:25Z</dcterms:modified>
</cp:coreProperties>
</file>